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1bc1e113b8df4/Desktop/"/>
    </mc:Choice>
  </mc:AlternateContent>
  <xr:revisionPtr revIDLastSave="3695" documentId="8_{48BF2150-4080-4B58-8ED8-EE4D41965D4D}" xr6:coauthVersionLast="47" xr6:coauthVersionMax="47" xr10:uidLastSave="{58D24EEE-4DE8-4540-9EC7-202A575F8B44}"/>
  <bookViews>
    <workbookView xWindow="-120" yWindow="-120" windowWidth="29040" windowHeight="15720" activeTab="9" xr2:uid="{0A323270-5639-4321-A0CD-B3C748EA4EB1}"/>
  </bookViews>
  <sheets>
    <sheet name="ATL Hawks" sheetId="1" r:id="rId1"/>
    <sheet name="BOS Celtics" sheetId="2" r:id="rId2"/>
    <sheet name="BKN Nets" sheetId="3" r:id="rId3"/>
    <sheet name="CHA Hornets" sheetId="4" r:id="rId4"/>
    <sheet name="CHI Bulls" sheetId="5" r:id="rId5"/>
    <sheet name="CLE Cavs" sheetId="6" r:id="rId6"/>
    <sheet name="DAL Mavs" sheetId="7" r:id="rId7"/>
    <sheet name="DEN Nuggets" sheetId="8" r:id="rId8"/>
    <sheet name="DET Pistons" sheetId="9" r:id="rId9"/>
    <sheet name="GS Warriors" sheetId="10" r:id="rId10"/>
    <sheet name="HOU Rockets" sheetId="11" r:id="rId11"/>
    <sheet name="IND Pacers" sheetId="12" r:id="rId12"/>
    <sheet name="LAC Clippers" sheetId="13" r:id="rId13"/>
    <sheet name="LAL Lakers" sheetId="14" r:id="rId14"/>
    <sheet name="MEM Grizzlies" sheetId="15" r:id="rId15"/>
    <sheet name="MIA Heat" sheetId="16" r:id="rId16"/>
    <sheet name="MIL Bucks" sheetId="17" r:id="rId17"/>
    <sheet name="MIN Wolves" sheetId="18" r:id="rId18"/>
    <sheet name="NOP Pels" sheetId="19" r:id="rId19"/>
    <sheet name="NYK Knicks" sheetId="20" r:id="rId20"/>
    <sheet name="OKC Thunder" sheetId="21" r:id="rId21"/>
    <sheet name="ORL Magic" sheetId="22" r:id="rId22"/>
    <sheet name="PHI 76ers" sheetId="23" r:id="rId23"/>
    <sheet name="PHX Suns" sheetId="24" r:id="rId24"/>
    <sheet name="POR Trailblazers" sheetId="25" r:id="rId25"/>
    <sheet name="SAC Kings" sheetId="26" r:id="rId26"/>
    <sheet name="SAS Spurs" sheetId="27" r:id="rId27"/>
    <sheet name="TOR Raptors" sheetId="28" r:id="rId28"/>
    <sheet name="UTA Jazz" sheetId="29" r:id="rId29"/>
    <sheet name="WAS Wizards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30" l="1"/>
  <c r="J25" i="30"/>
  <c r="J24" i="30"/>
  <c r="J23" i="30"/>
  <c r="H25" i="30"/>
  <c r="H24" i="30"/>
  <c r="H28" i="30" s="1"/>
  <c r="H23" i="30"/>
  <c r="F25" i="30"/>
  <c r="F24" i="30"/>
  <c r="F28" i="30" s="1"/>
  <c r="F23" i="30"/>
  <c r="L25" i="29"/>
  <c r="L24" i="29"/>
  <c r="L23" i="29"/>
  <c r="J25" i="29"/>
  <c r="J24" i="29"/>
  <c r="J23" i="29"/>
  <c r="H25" i="29"/>
  <c r="H24" i="29"/>
  <c r="H23" i="29"/>
  <c r="F25" i="29"/>
  <c r="F24" i="29"/>
  <c r="F23" i="29"/>
  <c r="E32" i="30"/>
  <c r="E33" i="30" s="1"/>
  <c r="L25" i="30"/>
  <c r="D24" i="30"/>
  <c r="D25" i="30" s="1"/>
  <c r="L23" i="30"/>
  <c r="D23" i="30"/>
  <c r="E32" i="29"/>
  <c r="E33" i="29" s="1"/>
  <c r="H28" i="29"/>
  <c r="F28" i="29"/>
  <c r="D24" i="29"/>
  <c r="D25" i="29" s="1"/>
  <c r="D23" i="29"/>
  <c r="L22" i="28"/>
  <c r="J24" i="28"/>
  <c r="J23" i="28"/>
  <c r="J22" i="28"/>
  <c r="H24" i="28"/>
  <c r="H23" i="28"/>
  <c r="H22" i="28"/>
  <c r="F24" i="28"/>
  <c r="F23" i="28"/>
  <c r="F22" i="28"/>
  <c r="E31" i="28"/>
  <c r="E32" i="28" s="1"/>
  <c r="E33" i="28" s="1"/>
  <c r="L24" i="28"/>
  <c r="L23" i="28"/>
  <c r="D22" i="28"/>
  <c r="D23" i="28" s="1"/>
  <c r="L24" i="27"/>
  <c r="L23" i="27"/>
  <c r="J25" i="27"/>
  <c r="H24" i="27"/>
  <c r="J23" i="27"/>
  <c r="H25" i="27"/>
  <c r="H23" i="27"/>
  <c r="F25" i="27"/>
  <c r="F24" i="27"/>
  <c r="F23" i="27"/>
  <c r="E32" i="27"/>
  <c r="E33" i="27" s="1"/>
  <c r="D29" i="27"/>
  <c r="H29" i="27"/>
  <c r="D24" i="27"/>
  <c r="D25" i="27" s="1"/>
  <c r="D23" i="27"/>
  <c r="L24" i="26"/>
  <c r="L23" i="26"/>
  <c r="J25" i="26"/>
  <c r="J24" i="26"/>
  <c r="J23" i="26"/>
  <c r="H25" i="26"/>
  <c r="H24" i="26"/>
  <c r="H23" i="26"/>
  <c r="F25" i="26"/>
  <c r="F23" i="26"/>
  <c r="L23" i="25"/>
  <c r="J25" i="25"/>
  <c r="J24" i="25"/>
  <c r="J23" i="25"/>
  <c r="H25" i="25"/>
  <c r="H24" i="25"/>
  <c r="H23" i="25"/>
  <c r="F25" i="25"/>
  <c r="F24" i="25"/>
  <c r="F23" i="25"/>
  <c r="E32" i="25"/>
  <c r="E33" i="25" s="1"/>
  <c r="E34" i="25" s="1"/>
  <c r="L25" i="25"/>
  <c r="L24" i="25"/>
  <c r="D23" i="25"/>
  <c r="D24" i="25" s="1"/>
  <c r="E32" i="26"/>
  <c r="E33" i="26" s="1"/>
  <c r="E34" i="26" s="1"/>
  <c r="F24" i="26"/>
  <c r="F28" i="26" s="1"/>
  <c r="L25" i="26"/>
  <c r="D23" i="26"/>
  <c r="D24" i="26" s="1"/>
  <c r="L25" i="24"/>
  <c r="J25" i="24"/>
  <c r="J24" i="24"/>
  <c r="J23" i="24"/>
  <c r="H25" i="24"/>
  <c r="H24" i="24"/>
  <c r="H23" i="24"/>
  <c r="F25" i="24"/>
  <c r="F24" i="24"/>
  <c r="F23" i="24"/>
  <c r="E32" i="24"/>
  <c r="E33" i="24" s="1"/>
  <c r="E34" i="24" s="1"/>
  <c r="L23" i="24"/>
  <c r="L24" i="24" s="1"/>
  <c r="D23" i="24"/>
  <c r="D24" i="24" s="1"/>
  <c r="J25" i="23"/>
  <c r="J24" i="23"/>
  <c r="J23" i="23"/>
  <c r="H25" i="23"/>
  <c r="H24" i="23"/>
  <c r="H23" i="23"/>
  <c r="F25" i="23"/>
  <c r="F24" i="23"/>
  <c r="F23" i="23"/>
  <c r="E32" i="23"/>
  <c r="E33" i="23" s="1"/>
  <c r="E34" i="23" s="1"/>
  <c r="L23" i="23"/>
  <c r="L25" i="23" s="1"/>
  <c r="D23" i="23"/>
  <c r="D24" i="23" s="1"/>
  <c r="L23" i="22"/>
  <c r="L22" i="22"/>
  <c r="J24" i="22"/>
  <c r="J23" i="22"/>
  <c r="J22" i="22"/>
  <c r="H24" i="22"/>
  <c r="H23" i="22"/>
  <c r="H22" i="22"/>
  <c r="F24" i="22"/>
  <c r="F23" i="22"/>
  <c r="F22" i="22"/>
  <c r="E31" i="22"/>
  <c r="E32" i="22" s="1"/>
  <c r="E33" i="22" s="1"/>
  <c r="D22" i="22"/>
  <c r="D23" i="22" s="1"/>
  <c r="L25" i="21"/>
  <c r="L24" i="21"/>
  <c r="L23" i="21"/>
  <c r="J25" i="21"/>
  <c r="J24" i="21"/>
  <c r="J23" i="21"/>
  <c r="H25" i="21"/>
  <c r="H24" i="21"/>
  <c r="H23" i="21"/>
  <c r="F25" i="21"/>
  <c r="F24" i="21"/>
  <c r="F23" i="21"/>
  <c r="E32" i="21"/>
  <c r="E33" i="21" s="1"/>
  <c r="E34" i="21" s="1"/>
  <c r="D23" i="21"/>
  <c r="D24" i="21" s="1"/>
  <c r="L25" i="20"/>
  <c r="J25" i="20"/>
  <c r="J24" i="20"/>
  <c r="J23" i="20"/>
  <c r="H25" i="20"/>
  <c r="H24" i="20"/>
  <c r="H23" i="20"/>
  <c r="F25" i="20"/>
  <c r="F24" i="20"/>
  <c r="F23" i="20"/>
  <c r="E32" i="20"/>
  <c r="E33" i="20" s="1"/>
  <c r="E34" i="20" s="1"/>
  <c r="L23" i="20"/>
  <c r="D23" i="20"/>
  <c r="D24" i="20" s="1"/>
  <c r="E32" i="19"/>
  <c r="E33" i="19" s="1"/>
  <c r="E34" i="19" s="1"/>
  <c r="J25" i="19"/>
  <c r="H25" i="19"/>
  <c r="L23" i="19"/>
  <c r="J23" i="19"/>
  <c r="H23" i="19"/>
  <c r="H24" i="19" s="1"/>
  <c r="F23" i="19"/>
  <c r="F24" i="19" s="1"/>
  <c r="D23" i="19"/>
  <c r="D24" i="19" s="1"/>
  <c r="L25" i="18"/>
  <c r="J25" i="18"/>
  <c r="J24" i="18"/>
  <c r="J23" i="18"/>
  <c r="H25" i="18"/>
  <c r="H24" i="18"/>
  <c r="H23" i="18"/>
  <c r="F25" i="18"/>
  <c r="F24" i="18"/>
  <c r="F23" i="18"/>
  <c r="E32" i="18"/>
  <c r="E33" i="18" s="1"/>
  <c r="E34" i="18" s="1"/>
  <c r="L23" i="18"/>
  <c r="D23" i="18"/>
  <c r="D24" i="18" s="1"/>
  <c r="L25" i="17"/>
  <c r="L24" i="17"/>
  <c r="L23" i="17"/>
  <c r="J25" i="17"/>
  <c r="J24" i="17"/>
  <c r="J23" i="17"/>
  <c r="H25" i="17"/>
  <c r="H23" i="17"/>
  <c r="F25" i="17"/>
  <c r="F24" i="17"/>
  <c r="F23" i="17"/>
  <c r="E32" i="17"/>
  <c r="E33" i="17" s="1"/>
  <c r="E34" i="17" s="1"/>
  <c r="D23" i="17"/>
  <c r="D24" i="17" s="1"/>
  <c r="L25" i="16"/>
  <c r="L24" i="16"/>
  <c r="L23" i="16"/>
  <c r="J25" i="16"/>
  <c r="J24" i="16"/>
  <c r="J23" i="16"/>
  <c r="H25" i="16"/>
  <c r="H24" i="16"/>
  <c r="H23" i="16"/>
  <c r="F25" i="16"/>
  <c r="F23" i="16"/>
  <c r="E32" i="16"/>
  <c r="E33" i="16" s="1"/>
  <c r="E34" i="16" s="1"/>
  <c r="D23" i="16"/>
  <c r="D24" i="16" s="1"/>
  <c r="L24" i="15"/>
  <c r="J25" i="15"/>
  <c r="J24" i="15"/>
  <c r="J23" i="15"/>
  <c r="H25" i="15"/>
  <c r="H24" i="15"/>
  <c r="H23" i="15"/>
  <c r="F25" i="15"/>
  <c r="F24" i="15"/>
  <c r="F23" i="15"/>
  <c r="E32" i="15"/>
  <c r="E33" i="15" s="1"/>
  <c r="E34" i="15" s="1"/>
  <c r="D24" i="15"/>
  <c r="D28" i="15" s="1"/>
  <c r="L23" i="15"/>
  <c r="D23" i="15"/>
  <c r="L24" i="13"/>
  <c r="J25" i="13"/>
  <c r="J24" i="13"/>
  <c r="J23" i="13"/>
  <c r="H25" i="13"/>
  <c r="H24" i="13"/>
  <c r="H23" i="13"/>
  <c r="F25" i="13"/>
  <c r="F24" i="13"/>
  <c r="F23" i="13"/>
  <c r="E32" i="13"/>
  <c r="E33" i="13" s="1"/>
  <c r="E34" i="13" s="1"/>
  <c r="L23" i="13"/>
  <c r="D23" i="13"/>
  <c r="D24" i="13" s="1"/>
  <c r="H29" i="30" l="1"/>
  <c r="F29" i="30"/>
  <c r="H29" i="29"/>
  <c r="F29" i="29"/>
  <c r="E34" i="30"/>
  <c r="D28" i="30"/>
  <c r="D29" i="30"/>
  <c r="E34" i="29"/>
  <c r="D28" i="29"/>
  <c r="D29" i="29"/>
  <c r="D24" i="28"/>
  <c r="D27" i="28"/>
  <c r="D28" i="28"/>
  <c r="H28" i="28"/>
  <c r="H27" i="28"/>
  <c r="J28" i="28"/>
  <c r="J27" i="28"/>
  <c r="L28" i="28"/>
  <c r="L27" i="28"/>
  <c r="E34" i="27"/>
  <c r="J24" i="27"/>
  <c r="D28" i="27"/>
  <c r="H28" i="27"/>
  <c r="L25" i="27"/>
  <c r="D29" i="25"/>
  <c r="D25" i="25"/>
  <c r="D28" i="25"/>
  <c r="H29" i="25"/>
  <c r="H28" i="25"/>
  <c r="J28" i="25"/>
  <c r="J29" i="25"/>
  <c r="L28" i="25"/>
  <c r="L29" i="25"/>
  <c r="D28" i="26"/>
  <c r="D25" i="26"/>
  <c r="D29" i="26"/>
  <c r="J28" i="26"/>
  <c r="J29" i="26"/>
  <c r="H28" i="26"/>
  <c r="H29" i="26"/>
  <c r="F29" i="26"/>
  <c r="D25" i="24"/>
  <c r="D29" i="24"/>
  <c r="D28" i="24"/>
  <c r="H29" i="24"/>
  <c r="H28" i="24"/>
  <c r="J28" i="24"/>
  <c r="J29" i="24"/>
  <c r="L29" i="24"/>
  <c r="L28" i="24"/>
  <c r="D28" i="23"/>
  <c r="D25" i="23"/>
  <c r="D29" i="23"/>
  <c r="H29" i="23"/>
  <c r="H28" i="23"/>
  <c r="L24" i="23"/>
  <c r="H28" i="22"/>
  <c r="H27" i="22"/>
  <c r="D24" i="22"/>
  <c r="D27" i="22"/>
  <c r="D28" i="22"/>
  <c r="L27" i="22"/>
  <c r="L28" i="22"/>
  <c r="L24" i="22"/>
  <c r="L29" i="21"/>
  <c r="J29" i="21"/>
  <c r="D29" i="21"/>
  <c r="D25" i="21"/>
  <c r="D28" i="21"/>
  <c r="H29" i="21"/>
  <c r="H28" i="21"/>
  <c r="D28" i="20"/>
  <c r="D25" i="20"/>
  <c r="D29" i="20"/>
  <c r="H29" i="20"/>
  <c r="H28" i="20"/>
  <c r="L24" i="20"/>
  <c r="F29" i="19"/>
  <c r="F28" i="19"/>
  <c r="D25" i="19"/>
  <c r="D28" i="19"/>
  <c r="D29" i="19"/>
  <c r="H29" i="19"/>
  <c r="H28" i="19"/>
  <c r="J24" i="19"/>
  <c r="L24" i="19"/>
  <c r="F25" i="19"/>
  <c r="L25" i="19"/>
  <c r="D28" i="18"/>
  <c r="D29" i="18"/>
  <c r="D25" i="18"/>
  <c r="F28" i="18"/>
  <c r="F29" i="18"/>
  <c r="H28" i="18"/>
  <c r="H29" i="18"/>
  <c r="J28" i="18"/>
  <c r="J29" i="18"/>
  <c r="L24" i="18"/>
  <c r="H24" i="17"/>
  <c r="H29" i="17"/>
  <c r="H28" i="17"/>
  <c r="L29" i="17"/>
  <c r="L28" i="17"/>
  <c r="D28" i="17"/>
  <c r="D25" i="17"/>
  <c r="D29" i="17"/>
  <c r="D28" i="16"/>
  <c r="D25" i="16"/>
  <c r="D29" i="16"/>
  <c r="J28" i="16"/>
  <c r="J29" i="16"/>
  <c r="F24" i="16"/>
  <c r="D29" i="15"/>
  <c r="L29" i="15"/>
  <c r="L28" i="15"/>
  <c r="F28" i="15"/>
  <c r="F29" i="15"/>
  <c r="H29" i="15"/>
  <c r="H28" i="15"/>
  <c r="J29" i="15"/>
  <c r="J28" i="15"/>
  <c r="D25" i="15"/>
  <c r="L25" i="15"/>
  <c r="D25" i="13"/>
  <c r="D29" i="13"/>
  <c r="D28" i="13"/>
  <c r="L29" i="13"/>
  <c r="L28" i="13"/>
  <c r="H29" i="13"/>
  <c r="H28" i="13"/>
  <c r="J29" i="13"/>
  <c r="J28" i="13"/>
  <c r="L25" i="13"/>
  <c r="J29" i="30" l="1"/>
  <c r="J28" i="30"/>
  <c r="L29" i="30"/>
  <c r="L28" i="30"/>
  <c r="L28" i="29"/>
  <c r="L29" i="29"/>
  <c r="J29" i="29"/>
  <c r="J28" i="29"/>
  <c r="F28" i="28"/>
  <c r="F27" i="28"/>
  <c r="L29" i="27"/>
  <c r="L28" i="27"/>
  <c r="F29" i="27"/>
  <c r="F28" i="27"/>
  <c r="J29" i="27"/>
  <c r="J28" i="27"/>
  <c r="F29" i="25"/>
  <c r="F28" i="25"/>
  <c r="L28" i="26"/>
  <c r="L29" i="26"/>
  <c r="F29" i="24"/>
  <c r="F28" i="24"/>
  <c r="L28" i="23"/>
  <c r="L29" i="23"/>
  <c r="J28" i="23"/>
  <c r="J29" i="23"/>
  <c r="F28" i="23"/>
  <c r="F29" i="23"/>
  <c r="J27" i="22"/>
  <c r="J28" i="22"/>
  <c r="F27" i="22"/>
  <c r="F28" i="22"/>
  <c r="L28" i="21"/>
  <c r="J28" i="21"/>
  <c r="F29" i="21"/>
  <c r="F28" i="21"/>
  <c r="L29" i="20"/>
  <c r="L28" i="20"/>
  <c r="J28" i="20"/>
  <c r="J29" i="20"/>
  <c r="F29" i="20"/>
  <c r="F28" i="20"/>
  <c r="L28" i="19"/>
  <c r="L29" i="19"/>
  <c r="J29" i="19"/>
  <c r="J28" i="19"/>
  <c r="L29" i="18"/>
  <c r="L28" i="18"/>
  <c r="F29" i="17"/>
  <c r="F28" i="17"/>
  <c r="J29" i="17"/>
  <c r="J28" i="17"/>
  <c r="L29" i="16"/>
  <c r="L28" i="16"/>
  <c r="H28" i="16"/>
  <c r="H29" i="16"/>
  <c r="F28" i="16"/>
  <c r="F29" i="16"/>
  <c r="F29" i="13"/>
  <c r="F28" i="13"/>
  <c r="L24" i="14"/>
  <c r="J25" i="14"/>
  <c r="J24" i="14"/>
  <c r="J23" i="14"/>
  <c r="H25" i="14"/>
  <c r="H24" i="14"/>
  <c r="H23" i="14"/>
  <c r="F25" i="14"/>
  <c r="F24" i="14"/>
  <c r="F23" i="14"/>
  <c r="E32" i="14"/>
  <c r="E33" i="14" s="1"/>
  <c r="E34" i="14" s="1"/>
  <c r="D24" i="14"/>
  <c r="D25" i="14" s="1"/>
  <c r="L23" i="14"/>
  <c r="D23" i="14"/>
  <c r="L24" i="12"/>
  <c r="J25" i="12"/>
  <c r="J23" i="12"/>
  <c r="H25" i="12"/>
  <c r="H24" i="12"/>
  <c r="H23" i="12"/>
  <c r="F25" i="12"/>
  <c r="F24" i="12"/>
  <c r="F23" i="12"/>
  <c r="E32" i="12"/>
  <c r="E33" i="12" s="1"/>
  <c r="E34" i="12" s="1"/>
  <c r="F29" i="12"/>
  <c r="L23" i="12"/>
  <c r="J24" i="12"/>
  <c r="D23" i="12"/>
  <c r="D24" i="12" s="1"/>
  <c r="L24" i="11"/>
  <c r="L23" i="11"/>
  <c r="L22" i="11"/>
  <c r="J24" i="11"/>
  <c r="J22" i="11"/>
  <c r="H24" i="11"/>
  <c r="H22" i="11"/>
  <c r="H23" i="11"/>
  <c r="H28" i="11" s="1"/>
  <c r="F24" i="11"/>
  <c r="F23" i="11"/>
  <c r="F22" i="11"/>
  <c r="E32" i="11"/>
  <c r="E33" i="11" s="1"/>
  <c r="E31" i="11"/>
  <c r="D22" i="11"/>
  <c r="D23" i="11" s="1"/>
  <c r="L23" i="10"/>
  <c r="J23" i="10"/>
  <c r="J24" i="10"/>
  <c r="H24" i="10"/>
  <c r="H23" i="10"/>
  <c r="H22" i="10"/>
  <c r="F22" i="10"/>
  <c r="F24" i="10"/>
  <c r="F23" i="10"/>
  <c r="E31" i="10"/>
  <c r="E32" i="10" s="1"/>
  <c r="E33" i="10" s="1"/>
  <c r="L24" i="10"/>
  <c r="L22" i="10"/>
  <c r="J22" i="10"/>
  <c r="D22" i="10"/>
  <c r="D23" i="10" s="1"/>
  <c r="H23" i="9"/>
  <c r="H24" i="9" s="1"/>
  <c r="F25" i="9"/>
  <c r="F24" i="9"/>
  <c r="F23" i="9"/>
  <c r="E33" i="9"/>
  <c r="E34" i="9" s="1"/>
  <c r="E32" i="9"/>
  <c r="J25" i="9"/>
  <c r="H25" i="9"/>
  <c r="L23" i="9"/>
  <c r="L24" i="9" s="1"/>
  <c r="J23" i="9"/>
  <c r="J24" i="9" s="1"/>
  <c r="D23" i="9"/>
  <c r="D24" i="9" s="1"/>
  <c r="L24" i="8"/>
  <c r="L23" i="8"/>
  <c r="J25" i="8"/>
  <c r="J23" i="8"/>
  <c r="H23" i="8"/>
  <c r="H25" i="8"/>
  <c r="F25" i="8"/>
  <c r="F24" i="8"/>
  <c r="F23" i="8"/>
  <c r="E32" i="8"/>
  <c r="E33" i="8" s="1"/>
  <c r="L25" i="8"/>
  <c r="H24" i="8"/>
  <c r="H29" i="8" s="1"/>
  <c r="D23" i="8"/>
  <c r="D24" i="8" s="1"/>
  <c r="L23" i="7"/>
  <c r="L25" i="7" s="1"/>
  <c r="J23" i="7"/>
  <c r="J25" i="7" s="1"/>
  <c r="H23" i="7"/>
  <c r="H25" i="7" s="1"/>
  <c r="F23" i="7"/>
  <c r="F25" i="7" s="1"/>
  <c r="E32" i="7"/>
  <c r="D23" i="7"/>
  <c r="D24" i="7" s="1"/>
  <c r="L25" i="6"/>
  <c r="L24" i="6"/>
  <c r="L23" i="6"/>
  <c r="J25" i="6"/>
  <c r="J24" i="6"/>
  <c r="J23" i="6"/>
  <c r="H25" i="6"/>
  <c r="H24" i="6"/>
  <c r="H23" i="6"/>
  <c r="F25" i="6"/>
  <c r="F24" i="6"/>
  <c r="F23" i="6"/>
  <c r="E32" i="6"/>
  <c r="E33" i="6" s="1"/>
  <c r="E34" i="6" s="1"/>
  <c r="D23" i="6"/>
  <c r="D24" i="6" s="1"/>
  <c r="L24" i="5"/>
  <c r="J25" i="5"/>
  <c r="J24" i="5"/>
  <c r="J23" i="5"/>
  <c r="H25" i="5"/>
  <c r="H24" i="5"/>
  <c r="H23" i="5"/>
  <c r="H29" i="5" s="1"/>
  <c r="F25" i="5"/>
  <c r="F24" i="5"/>
  <c r="F23" i="5"/>
  <c r="F29" i="5"/>
  <c r="D23" i="5"/>
  <c r="E32" i="5"/>
  <c r="E33" i="5" s="1"/>
  <c r="L25" i="5"/>
  <c r="L23" i="5"/>
  <c r="D24" i="5"/>
  <c r="L25" i="4"/>
  <c r="L24" i="4"/>
  <c r="J25" i="4"/>
  <c r="J24" i="4"/>
  <c r="J23" i="4"/>
  <c r="H25" i="4"/>
  <c r="H24" i="4"/>
  <c r="H29" i="4" s="1"/>
  <c r="H23" i="4"/>
  <c r="F25" i="4"/>
  <c r="F24" i="4"/>
  <c r="F23" i="4"/>
  <c r="D23" i="4"/>
  <c r="E32" i="4"/>
  <c r="E33" i="4" s="1"/>
  <c r="L23" i="4"/>
  <c r="D24" i="4"/>
  <c r="L24" i="3"/>
  <c r="J25" i="3"/>
  <c r="J24" i="3"/>
  <c r="J23" i="3"/>
  <c r="H25" i="3"/>
  <c r="H24" i="3"/>
  <c r="H23" i="3"/>
  <c r="F25" i="3"/>
  <c r="F24" i="3"/>
  <c r="F23" i="3"/>
  <c r="D24" i="3"/>
  <c r="D23" i="3"/>
  <c r="E32" i="3"/>
  <c r="E33" i="3" s="1"/>
  <c r="E34" i="3" s="1"/>
  <c r="D29" i="3"/>
  <c r="L23" i="3"/>
  <c r="L25" i="3" s="1"/>
  <c r="F29" i="14" l="1"/>
  <c r="J29" i="14"/>
  <c r="J28" i="14"/>
  <c r="L29" i="14"/>
  <c r="L28" i="14"/>
  <c r="L25" i="14"/>
  <c r="D28" i="14"/>
  <c r="F28" i="14"/>
  <c r="D29" i="14"/>
  <c r="H28" i="12"/>
  <c r="D25" i="12"/>
  <c r="D29" i="12"/>
  <c r="D28" i="12"/>
  <c r="J28" i="12"/>
  <c r="J29" i="12"/>
  <c r="L29" i="12"/>
  <c r="L28" i="12"/>
  <c r="H29" i="12"/>
  <c r="F28" i="12"/>
  <c r="L25" i="12"/>
  <c r="L28" i="11"/>
  <c r="L27" i="11"/>
  <c r="D27" i="11"/>
  <c r="D28" i="11"/>
  <c r="D24" i="11"/>
  <c r="F28" i="11"/>
  <c r="F27" i="11"/>
  <c r="H27" i="11"/>
  <c r="J23" i="11"/>
  <c r="H28" i="10"/>
  <c r="D24" i="10"/>
  <c r="D28" i="10"/>
  <c r="D27" i="10"/>
  <c r="J28" i="10"/>
  <c r="J27" i="10"/>
  <c r="L28" i="10"/>
  <c r="L27" i="10"/>
  <c r="D25" i="9"/>
  <c r="D29" i="9"/>
  <c r="D28" i="9"/>
  <c r="L29" i="9"/>
  <c r="L28" i="9"/>
  <c r="J29" i="9"/>
  <c r="J28" i="9"/>
  <c r="H28" i="9"/>
  <c r="H29" i="9"/>
  <c r="L25" i="9"/>
  <c r="D28" i="7"/>
  <c r="D29" i="7"/>
  <c r="D25" i="7"/>
  <c r="F24" i="7"/>
  <c r="H24" i="7"/>
  <c r="H29" i="7" s="1"/>
  <c r="J24" i="7"/>
  <c r="D29" i="8"/>
  <c r="D28" i="8"/>
  <c r="D25" i="8"/>
  <c r="F29" i="8"/>
  <c r="F28" i="8"/>
  <c r="J24" i="8"/>
  <c r="E34" i="8"/>
  <c r="H28" i="8"/>
  <c r="F28" i="7"/>
  <c r="F29" i="7"/>
  <c r="E33" i="7"/>
  <c r="E34" i="7" s="1"/>
  <c r="L24" i="7" s="1"/>
  <c r="D25" i="6"/>
  <c r="D29" i="6"/>
  <c r="D28" i="6"/>
  <c r="F29" i="6"/>
  <c r="F28" i="6"/>
  <c r="H29" i="6"/>
  <c r="H28" i="6"/>
  <c r="J29" i="6"/>
  <c r="J28" i="6"/>
  <c r="L29" i="6"/>
  <c r="L28" i="6"/>
  <c r="D25" i="5"/>
  <c r="D29" i="5"/>
  <c r="D28" i="5"/>
  <c r="E34" i="5"/>
  <c r="F28" i="5"/>
  <c r="H28" i="5"/>
  <c r="E34" i="4"/>
  <c r="D29" i="4"/>
  <c r="D25" i="4"/>
  <c r="D28" i="4"/>
  <c r="F29" i="4"/>
  <c r="F28" i="4"/>
  <c r="H28" i="4"/>
  <c r="F29" i="3"/>
  <c r="L28" i="3"/>
  <c r="L29" i="3"/>
  <c r="D25" i="3"/>
  <c r="F28" i="3"/>
  <c r="D28" i="3"/>
  <c r="D29" i="1"/>
  <c r="D28" i="1"/>
  <c r="F25" i="1"/>
  <c r="F24" i="1"/>
  <c r="H23" i="1"/>
  <c r="H25" i="1" s="1"/>
  <c r="F23" i="1"/>
  <c r="D23" i="1"/>
  <c r="D24" i="1" s="1"/>
  <c r="H22" i="2"/>
  <c r="H20" i="2"/>
  <c r="L22" i="2"/>
  <c r="J20" i="2"/>
  <c r="J22" i="2" s="1"/>
  <c r="F20" i="2"/>
  <c r="F22" i="2" s="1"/>
  <c r="D20" i="2"/>
  <c r="E29" i="2"/>
  <c r="E30" i="2" s="1"/>
  <c r="E31" i="2" s="1"/>
  <c r="D21" i="2"/>
  <c r="D22" i="2" s="1"/>
  <c r="D26" i="2"/>
  <c r="L25" i="1"/>
  <c r="E32" i="1"/>
  <c r="E33" i="1" s="1"/>
  <c r="L23" i="1"/>
  <c r="J23" i="1"/>
  <c r="J25" i="1" s="1"/>
  <c r="H29" i="14" l="1"/>
  <c r="H28" i="14"/>
  <c r="J28" i="11"/>
  <c r="J27" i="11"/>
  <c r="H27" i="10"/>
  <c r="F28" i="10"/>
  <c r="F27" i="10"/>
  <c r="F28" i="9"/>
  <c r="F29" i="9"/>
  <c r="H28" i="7"/>
  <c r="L29" i="8"/>
  <c r="L28" i="8"/>
  <c r="J28" i="8"/>
  <c r="J29" i="8"/>
  <c r="L29" i="7"/>
  <c r="L28" i="7"/>
  <c r="J28" i="5"/>
  <c r="J29" i="5"/>
  <c r="L28" i="5"/>
  <c r="L29" i="5"/>
  <c r="J29" i="4"/>
  <c r="J28" i="4"/>
  <c r="L28" i="4"/>
  <c r="L29" i="4"/>
  <c r="H28" i="3"/>
  <c r="H29" i="3"/>
  <c r="J28" i="3"/>
  <c r="J29" i="3"/>
  <c r="E34" i="1"/>
  <c r="J24" i="1"/>
  <c r="L24" i="1"/>
  <c r="L29" i="1" s="1"/>
  <c r="H24" i="1"/>
  <c r="H29" i="1" s="1"/>
  <c r="J28" i="1"/>
  <c r="D25" i="1"/>
  <c r="D25" i="2"/>
  <c r="H21" i="2"/>
  <c r="J21" i="2"/>
  <c r="L21" i="2"/>
  <c r="F21" i="2"/>
  <c r="J29" i="7" l="1"/>
  <c r="J28" i="7"/>
  <c r="H28" i="1"/>
  <c r="L28" i="1"/>
  <c r="J29" i="1"/>
  <c r="F25" i="2"/>
  <c r="F26" i="2"/>
  <c r="J25" i="2"/>
  <c r="J26" i="2"/>
  <c r="F29" i="1"/>
  <c r="F28" i="1"/>
  <c r="L26" i="2"/>
  <c r="L25" i="2"/>
  <c r="H26" i="2"/>
  <c r="H25" i="2"/>
</calcChain>
</file>

<file path=xl/sharedStrings.xml><?xml version="1.0" encoding="utf-8"?>
<sst xmlns="http://schemas.openxmlformats.org/spreadsheetml/2006/main" count="3444" uniqueCount="851">
  <si>
    <t>Atlanta Hawks</t>
  </si>
  <si>
    <t>Player</t>
  </si>
  <si>
    <t>Pos</t>
  </si>
  <si>
    <t>Age</t>
  </si>
  <si>
    <t>2025-26</t>
  </si>
  <si>
    <t>2026-27</t>
  </si>
  <si>
    <t>2027-28</t>
  </si>
  <si>
    <t>2028-29</t>
  </si>
  <si>
    <t>2029-30</t>
  </si>
  <si>
    <t>Kristaps Porzingis</t>
  </si>
  <si>
    <t>PF</t>
  </si>
  <si>
    <t>SG</t>
  </si>
  <si>
    <t>UFA ($46.0M)</t>
  </si>
  <si>
    <t>Jalen Johnson</t>
  </si>
  <si>
    <t>SF</t>
  </si>
  <si>
    <t>Nickeil Alexander-Walker</t>
  </si>
  <si>
    <t>UFA ($22.9M)</t>
  </si>
  <si>
    <t>Onyeka Okongwu</t>
  </si>
  <si>
    <t>C</t>
  </si>
  <si>
    <t>UFA ($25.3M)</t>
  </si>
  <si>
    <t>Corey Kispert</t>
  </si>
  <si>
    <t>UFA ($24.7M)</t>
  </si>
  <si>
    <t>Zaccharie Risacher</t>
  </si>
  <si>
    <t>RFA ($43.6M)</t>
  </si>
  <si>
    <t>Dyson Daniels</t>
  </si>
  <si>
    <t>PG</t>
  </si>
  <si>
    <t>Asa Newell</t>
  </si>
  <si>
    <t>RFA ($18.1M)</t>
  </si>
  <si>
    <t>Keaton Wallace</t>
  </si>
  <si>
    <t>G</t>
  </si>
  <si>
    <t>RFA ($3.4M)</t>
  </si>
  <si>
    <t>Mouhamed Gueye</t>
  </si>
  <si>
    <t>UFA ($3.0M)</t>
  </si>
  <si>
    <t>Clint Capela</t>
  </si>
  <si>
    <t>Caris LeVert</t>
  </si>
  <si>
    <t>Larry Nance Jr.</t>
  </si>
  <si>
    <t>Kobe Bufkin</t>
  </si>
  <si>
    <t>Al Horford</t>
  </si>
  <si>
    <t>Anfernee Simons</t>
  </si>
  <si>
    <t>Hugo Gonzalez</t>
  </si>
  <si>
    <t>Luka Garza</t>
  </si>
  <si>
    <t>Amari Williams</t>
  </si>
  <si>
    <t>Max Shulga</t>
  </si>
  <si>
    <t>Ron Harper Jr.</t>
  </si>
  <si>
    <t>Jayson Tatum</t>
  </si>
  <si>
    <t>Jaylen Brown</t>
  </si>
  <si>
    <t>UFA ($79.2M)</t>
  </si>
  <si>
    <t>Derrick White</t>
  </si>
  <si>
    <t>UFA ($52.3M)</t>
  </si>
  <si>
    <t>UFA ($41.5M)</t>
  </si>
  <si>
    <t>Sam Hauser</t>
  </si>
  <si>
    <t>UFA ($22.1M)</t>
  </si>
  <si>
    <t>Payton Pritchard</t>
  </si>
  <si>
    <t>UFA ($15.8M)</t>
  </si>
  <si>
    <t>RFA ($16.6M)</t>
  </si>
  <si>
    <t>Baylor Scheierman</t>
  </si>
  <si>
    <t>RFA ($14.9M)</t>
  </si>
  <si>
    <t>UFA ($2.5M)</t>
  </si>
  <si>
    <t>UFA ($2.6M)</t>
  </si>
  <si>
    <t>Josh Minott</t>
  </si>
  <si>
    <t>Neemias Queta</t>
  </si>
  <si>
    <t>UFA ($2.8M)</t>
  </si>
  <si>
    <t>Jordan Walsh</t>
  </si>
  <si>
    <t>Two-Way</t>
  </si>
  <si>
    <t>RFA ($2.2M)</t>
  </si>
  <si>
    <t>Guaranteed Total:</t>
  </si>
  <si>
    <t>Guaranteed Total Plus Min Roster:</t>
  </si>
  <si>
    <t>Inclusive Total:</t>
  </si>
  <si>
    <t>Salary Cap:</t>
  </si>
  <si>
    <t>Tax Line:</t>
  </si>
  <si>
    <t>Max Cap Room:</t>
  </si>
  <si>
    <t>Max Tax Room:</t>
  </si>
  <si>
    <t>Michael Porter Jr.</t>
  </si>
  <si>
    <t>UFA ($42.7M)</t>
  </si>
  <si>
    <t>Nicolas Claxton</t>
  </si>
  <si>
    <t>UFA ($32.4M)</t>
  </si>
  <si>
    <t>Terance Mann</t>
  </si>
  <si>
    <t>UFA ($24.0M)</t>
  </si>
  <si>
    <t>Egor Demin</t>
  </si>
  <si>
    <t>Ziaire Williams</t>
  </si>
  <si>
    <t>UFA ($11.8M)</t>
  </si>
  <si>
    <t>UFA ($11.9M)</t>
  </si>
  <si>
    <t>F</t>
  </si>
  <si>
    <t>Nolan Traore</t>
  </si>
  <si>
    <t>RFA ($19.4M)</t>
  </si>
  <si>
    <t>Noah Clowney</t>
  </si>
  <si>
    <t>RFA ($16.2M)</t>
  </si>
  <si>
    <t>Drake Powell</t>
  </si>
  <si>
    <t>Ben Saraf</t>
  </si>
  <si>
    <t>RFA ($17.2M)</t>
  </si>
  <si>
    <t>Danny Wolf</t>
  </si>
  <si>
    <t>RFA ($16.7M)</t>
  </si>
  <si>
    <t>Jalen Wilson</t>
  </si>
  <si>
    <t>RFA ($3.0M)</t>
  </si>
  <si>
    <t>E.J. Liddell</t>
  </si>
  <si>
    <t>Chaney Johnson</t>
  </si>
  <si>
    <t>Tyson Etienne</t>
  </si>
  <si>
    <t>LaMelo Ball</t>
  </si>
  <si>
    <t>UFA ($67.9M)</t>
  </si>
  <si>
    <t>Miles Bridges</t>
  </si>
  <si>
    <t>UFA ($34.2M)</t>
  </si>
  <si>
    <t>Collin Sexton</t>
  </si>
  <si>
    <t>UFA ($28.5M)</t>
  </si>
  <si>
    <t>Josh Green</t>
  </si>
  <si>
    <t>UFA ($22.0M)</t>
  </si>
  <si>
    <t>Grant Williams</t>
  </si>
  <si>
    <t>UFA ($21.4M)</t>
  </si>
  <si>
    <t>Brandon Miller</t>
  </si>
  <si>
    <t>RFA ($37.8M)</t>
  </si>
  <si>
    <t>Kon Knueppel</t>
  </si>
  <si>
    <t>RFA ($34.8M)</t>
  </si>
  <si>
    <t>Pat Connaughton</t>
  </si>
  <si>
    <t>UFA ($17.9M)</t>
  </si>
  <si>
    <t>Tre Mann</t>
  </si>
  <si>
    <t>UFA ($15.2M)</t>
  </si>
  <si>
    <t>Tidjane Salaun</t>
  </si>
  <si>
    <t>RFA ($10.4M)</t>
  </si>
  <si>
    <t>Liam McNeeley</t>
  </si>
  <si>
    <t>RFA ($16.5M)</t>
  </si>
  <si>
    <t>Ryan Kalkbrenner</t>
  </si>
  <si>
    <t>UFA ($3.1M)</t>
  </si>
  <si>
    <t>Sion James</t>
  </si>
  <si>
    <t>Moussa Diabate</t>
  </si>
  <si>
    <t>UFA ($2.3M)</t>
  </si>
  <si>
    <t>Antonio Reeves</t>
  </si>
  <si>
    <t>P.J. Hall</t>
  </si>
  <si>
    <t>Josh Giddey</t>
  </si>
  <si>
    <t>UFA ($37.5M)</t>
  </si>
  <si>
    <t>Nikola Vucevic</t>
  </si>
  <si>
    <t>UFA ($30.0M)</t>
  </si>
  <si>
    <t>Zach Collins</t>
  </si>
  <si>
    <t>UFA ($27.1M)</t>
  </si>
  <si>
    <t>Patrick Williams</t>
  </si>
  <si>
    <t>UFA ($27.0M)</t>
  </si>
  <si>
    <t>Coby White</t>
  </si>
  <si>
    <t>UFA ($24.5M)</t>
  </si>
  <si>
    <t>Isaac Okoro</t>
  </si>
  <si>
    <t>UFA ($22.4M)</t>
  </si>
  <si>
    <t>Jalen Smith</t>
  </si>
  <si>
    <t>Tre Jones</t>
  </si>
  <si>
    <t>Matas Buzelis</t>
  </si>
  <si>
    <t>RFA ($22.8M)</t>
  </si>
  <si>
    <t>Noa Essengue</t>
  </si>
  <si>
    <t>RFA ($24.7M)</t>
  </si>
  <si>
    <t>Lachlan Olbrich</t>
  </si>
  <si>
    <t>Yuki Kawamura</t>
  </si>
  <si>
    <t>Evan Mobley</t>
  </si>
  <si>
    <t>Donovan Mitchell</t>
  </si>
  <si>
    <t>UFA ($72.0M)</t>
  </si>
  <si>
    <t>Darius Garland</t>
  </si>
  <si>
    <t>UFA ($53.9M)</t>
  </si>
  <si>
    <t>Jarrett Allen</t>
  </si>
  <si>
    <t>UFA ($48.9M)</t>
  </si>
  <si>
    <t>Max Strus</t>
  </si>
  <si>
    <t>UFA ($25.0M)</t>
  </si>
  <si>
    <t>UFA ($19.0M)</t>
  </si>
  <si>
    <t>Sam Merrill</t>
  </si>
  <si>
    <t>UFA ($20.0M)</t>
  </si>
  <si>
    <t>Dean Wade</t>
  </si>
  <si>
    <t>UFA ($12.6M)</t>
  </si>
  <si>
    <t>Jaylon Tyson</t>
  </si>
  <si>
    <t>RFA ($16.9M)</t>
  </si>
  <si>
    <t>Thomas Bryant</t>
  </si>
  <si>
    <t>Craig Porter Jr.</t>
  </si>
  <si>
    <t>Tyrese Proctor</t>
  </si>
  <si>
    <t>Kyrie Irving</t>
  </si>
  <si>
    <t>UFA ($63.6M)</t>
  </si>
  <si>
    <t>Klay Thompson</t>
  </si>
  <si>
    <t>UFA ($26.2M)</t>
  </si>
  <si>
    <t>Daniel Gafford</t>
  </si>
  <si>
    <t>Cooper Flagg</t>
  </si>
  <si>
    <t>RFA ($47.9M)</t>
  </si>
  <si>
    <t>Caleb Martin</t>
  </si>
  <si>
    <t>UFA ($20.5M)</t>
  </si>
  <si>
    <t>Naji Marshall</t>
  </si>
  <si>
    <t>Max Christie</t>
  </si>
  <si>
    <t>UFA ($16.8M)</t>
  </si>
  <si>
    <t>UFA ($7.8M)</t>
  </si>
  <si>
    <t>Dereck Lively II</t>
  </si>
  <si>
    <t>RFA ($21.7M)</t>
  </si>
  <si>
    <t>Dwight Powell</t>
  </si>
  <si>
    <t>UFA ($7.6M)</t>
  </si>
  <si>
    <t>Brandon Williams</t>
  </si>
  <si>
    <t>Ryan Nembhard</t>
  </si>
  <si>
    <t>Moussa Cisse</t>
  </si>
  <si>
    <t>Nikola Jokic</t>
  </si>
  <si>
    <t>UFA ($72.9M)</t>
  </si>
  <si>
    <t>Jamal Murray</t>
  </si>
  <si>
    <t>Aaron Gordon</t>
  </si>
  <si>
    <t>UFA ($55.6M)</t>
  </si>
  <si>
    <t>Cameron Johnson</t>
  </si>
  <si>
    <t>UFA ($34.6M)</t>
  </si>
  <si>
    <t>Jonas Valanciunas</t>
  </si>
  <si>
    <t>Zeke Nnaji</t>
  </si>
  <si>
    <t>UFA ($14.2M)</t>
  </si>
  <si>
    <t>Christian Braun</t>
  </si>
  <si>
    <t>Peyton Watson</t>
  </si>
  <si>
    <t>RFA ($13.1M)</t>
  </si>
  <si>
    <t>DaRon Holmes II</t>
  </si>
  <si>
    <t>Julian Strawther</t>
  </si>
  <si>
    <t>RFA ($14.5M)</t>
  </si>
  <si>
    <t>Bruce Brown Jr.</t>
  </si>
  <si>
    <t>Tim Hardaway Jr.</t>
  </si>
  <si>
    <t>Jalen Pickett</t>
  </si>
  <si>
    <t>Spencer Jones</t>
  </si>
  <si>
    <t>Curtis Jones</t>
  </si>
  <si>
    <t>Cade Cunningham</t>
  </si>
  <si>
    <t>Tobias Harris</t>
  </si>
  <si>
    <t>UFA ($40.0M)</t>
  </si>
  <si>
    <t>Duncan Robinson</t>
  </si>
  <si>
    <t>UFA ($22.7M)</t>
  </si>
  <si>
    <t>Isaiah Stewart</t>
  </si>
  <si>
    <t>UFA ($26.6M)</t>
  </si>
  <si>
    <t>UFA ($19.3M)</t>
  </si>
  <si>
    <t>Jaden Ivey</t>
  </si>
  <si>
    <t>RFA ($30.3M)</t>
  </si>
  <si>
    <t>Ausar Thompson</t>
  </si>
  <si>
    <t>Ron Holland II</t>
  </si>
  <si>
    <t>RFA ($34.5M)</t>
  </si>
  <si>
    <t>Jalen Duren</t>
  </si>
  <si>
    <t>Paul Reed</t>
  </si>
  <si>
    <t>Marcus Sasser</t>
  </si>
  <si>
    <t>RFA ($15.6M)</t>
  </si>
  <si>
    <t>Bobi Klintman</t>
  </si>
  <si>
    <t>Isaac Jones</t>
  </si>
  <si>
    <t>RFA ($2.7M)</t>
  </si>
  <si>
    <t>Chaz Lanier</t>
  </si>
  <si>
    <t>Tolu Smith III</t>
  </si>
  <si>
    <t>Wendell Moore Jr.</t>
  </si>
  <si>
    <t>Daniss Jenkins</t>
  </si>
  <si>
    <t>Stephen Curry</t>
  </si>
  <si>
    <t>UFA ($65.7M)</t>
  </si>
  <si>
    <t>Jimmy Butler</t>
  </si>
  <si>
    <t>UFA ($65.5M)</t>
  </si>
  <si>
    <t>Draymond Green</t>
  </si>
  <si>
    <t>Jonathan Kuminga</t>
  </si>
  <si>
    <t>UFA ($36.5M)</t>
  </si>
  <si>
    <t>Moses Moody</t>
  </si>
  <si>
    <t>UFA ($20.9M)</t>
  </si>
  <si>
    <t>Buddy Hield</t>
  </si>
  <si>
    <t>UFA ($19.2M)</t>
  </si>
  <si>
    <t>Brandin Podziemski</t>
  </si>
  <si>
    <t>RFA ($17.0M)</t>
  </si>
  <si>
    <t>Gary Payton II</t>
  </si>
  <si>
    <t>Gui Santos</t>
  </si>
  <si>
    <t>Quinten Post</t>
  </si>
  <si>
    <t>Seth Curry</t>
  </si>
  <si>
    <t>Will Richard</t>
  </si>
  <si>
    <t>Pat Spencer</t>
  </si>
  <si>
    <t>L.J. Cryer</t>
  </si>
  <si>
    <t>Kevin Durant</t>
  </si>
  <si>
    <t>UFA ($69.1M)</t>
  </si>
  <si>
    <t>Alperen Sengun</t>
  </si>
  <si>
    <t>Fred VanVleet</t>
  </si>
  <si>
    <t>Steven Adams</t>
  </si>
  <si>
    <t>UFA ($22.6M)</t>
  </si>
  <si>
    <t>Dorian Finney-Smith</t>
  </si>
  <si>
    <t>Jabari Smith Jr.</t>
  </si>
  <si>
    <t>Reed Sheppard</t>
  </si>
  <si>
    <t>RFA ($35.1M)</t>
  </si>
  <si>
    <t>Amen Thompson</t>
  </si>
  <si>
    <t>RFA ($36.8M)</t>
  </si>
  <si>
    <t>UFA ($14.0M)</t>
  </si>
  <si>
    <t>Tari Eason</t>
  </si>
  <si>
    <t>Josh Okogie</t>
  </si>
  <si>
    <t>Aaron Holiday</t>
  </si>
  <si>
    <t>Jeff Green</t>
  </si>
  <si>
    <t>Tristen Newton</t>
  </si>
  <si>
    <t>J.D. Davison</t>
  </si>
  <si>
    <t>Isaiah Crawford</t>
  </si>
  <si>
    <t>Pascal Siakam</t>
  </si>
  <si>
    <t>Tyrese Haliburton</t>
  </si>
  <si>
    <t>Andrew Nembhard</t>
  </si>
  <si>
    <t>UFA ($31.5M)</t>
  </si>
  <si>
    <t>Obi Toppin</t>
  </si>
  <si>
    <t>Aaron Nesmith</t>
  </si>
  <si>
    <t>T.J. McConnell</t>
  </si>
  <si>
    <t>Bennedict Mathurin</t>
  </si>
  <si>
    <t>RFA ($27.6M)</t>
  </si>
  <si>
    <t>Isaiah Jackson</t>
  </si>
  <si>
    <t>UFA ($12.2M)</t>
  </si>
  <si>
    <t>Jarace Walker</t>
  </si>
  <si>
    <t>RFA ($25.4M)</t>
  </si>
  <si>
    <t>Ben Sheppard</t>
  </si>
  <si>
    <t>RFA ($15.1M)</t>
  </si>
  <si>
    <t>Jay Huff</t>
  </si>
  <si>
    <t>Johnny Furphy</t>
  </si>
  <si>
    <t>Micah Potter</t>
  </si>
  <si>
    <t>Kam Jones</t>
  </si>
  <si>
    <t>Ethan Thompson</t>
  </si>
  <si>
    <t>Taelon Peter</t>
  </si>
  <si>
    <t>Quenton Jackson</t>
  </si>
  <si>
    <t>Kawhi Leonard</t>
  </si>
  <si>
    <t>UFA ($66.2M)</t>
  </si>
  <si>
    <t>James Harden</t>
  </si>
  <si>
    <t>John Collins</t>
  </si>
  <si>
    <t>UFA ($39.9M)</t>
  </si>
  <si>
    <t>Ivica Zubac</t>
  </si>
  <si>
    <t>Bogdan Bogdanovic</t>
  </si>
  <si>
    <t>Derrick Jones Jr.</t>
  </si>
  <si>
    <t>UFA ($19.9M)</t>
  </si>
  <si>
    <t>Brook Lopez</t>
  </si>
  <si>
    <t>Nicolas Batum</t>
  </si>
  <si>
    <t>UFA ($11.2M)</t>
  </si>
  <si>
    <t>Kris Dunn</t>
  </si>
  <si>
    <t>Bradley Beal</t>
  </si>
  <si>
    <t>UFA ($7.3M)</t>
  </si>
  <si>
    <t>Yanic Konan Niederhauser</t>
  </si>
  <si>
    <t>RFA ($16.3M)</t>
  </si>
  <si>
    <t>Kobe Brown</t>
  </si>
  <si>
    <t>UFA ($4.8M)</t>
  </si>
  <si>
    <t>Cameron Christie</t>
  </si>
  <si>
    <t>TyTy Washington Jr.</t>
  </si>
  <si>
    <t>Kobe Sanders</t>
  </si>
  <si>
    <t>Jordan Miller</t>
  </si>
  <si>
    <t>LeBron James</t>
  </si>
  <si>
    <t>UFA ($59.5M)</t>
  </si>
  <si>
    <t>UFA ($67.3M)</t>
  </si>
  <si>
    <t>Rui Hachimura</t>
  </si>
  <si>
    <t>UFA ($27.4M)</t>
  </si>
  <si>
    <t>Austin Reaves</t>
  </si>
  <si>
    <t>Jarred Vanderbilt</t>
  </si>
  <si>
    <t>Gabe Vincent</t>
  </si>
  <si>
    <t>UFA ($21.9M)</t>
  </si>
  <si>
    <t>Maxi Kleber</t>
  </si>
  <si>
    <t>Deandre Ayton</t>
  </si>
  <si>
    <t>UFA ($10.5M)</t>
  </si>
  <si>
    <t>Jake LaRavia</t>
  </si>
  <si>
    <t>Marcus Smart</t>
  </si>
  <si>
    <t>UFA ($7.0M)</t>
  </si>
  <si>
    <t>Dalton Knecht</t>
  </si>
  <si>
    <t>Jaxson Hayes</t>
  </si>
  <si>
    <t>UFA ($4.5M)</t>
  </si>
  <si>
    <t>Bronny James</t>
  </si>
  <si>
    <t>Adou Thiero</t>
  </si>
  <si>
    <t>Drew Timme</t>
  </si>
  <si>
    <t>Nick Smith Jr.</t>
  </si>
  <si>
    <t>Chris Manon</t>
  </si>
  <si>
    <t>Ja Morant</t>
  </si>
  <si>
    <t>Kentavious Caldwell-Pope</t>
  </si>
  <si>
    <t>Santi Aldama</t>
  </si>
  <si>
    <t>UFA ($25.5M)</t>
  </si>
  <si>
    <t>Brandon Clarke</t>
  </si>
  <si>
    <t>UFA ($18.8M)</t>
  </si>
  <si>
    <t>Ty Jerome</t>
  </si>
  <si>
    <t>UFA ($18.4M)</t>
  </si>
  <si>
    <t>Zach Edey</t>
  </si>
  <si>
    <t>RFA ($24.2M)</t>
  </si>
  <si>
    <t>Cedric Coward</t>
  </si>
  <si>
    <t>RFA ($25.0M)</t>
  </si>
  <si>
    <t>Cam Spencer</t>
  </si>
  <si>
    <t>UFA ($5.4M)</t>
  </si>
  <si>
    <t>Jock Landale</t>
  </si>
  <si>
    <t>Scotty Pippen Jr.</t>
  </si>
  <si>
    <t>G.G. Jackson</t>
  </si>
  <si>
    <t>Jaylen Wells</t>
  </si>
  <si>
    <t>Javon Small</t>
  </si>
  <si>
    <t>Olivier-Maxence Prosper</t>
  </si>
  <si>
    <t>Jahmai Mashack</t>
  </si>
  <si>
    <t>Bam Adebayo</t>
  </si>
  <si>
    <t>Tyler Herro</t>
  </si>
  <si>
    <t>Andrew Wiggins</t>
  </si>
  <si>
    <t>UFA ($45.3M)</t>
  </si>
  <si>
    <t>Terry Rozier</t>
  </si>
  <si>
    <t>Norman Powell</t>
  </si>
  <si>
    <t>UFA ($30.7M)</t>
  </si>
  <si>
    <t>Davion Mitchell</t>
  </si>
  <si>
    <t>UFA ($23.6M)</t>
  </si>
  <si>
    <t>Simone Fontecchio</t>
  </si>
  <si>
    <t>RFA ($21.4M)</t>
  </si>
  <si>
    <t>Jaime Jaquez Jr.</t>
  </si>
  <si>
    <t>RFA ($17.8M)</t>
  </si>
  <si>
    <t>Kasparas Jakucionis</t>
  </si>
  <si>
    <t>RFA ($18.6M)</t>
  </si>
  <si>
    <t>Dru Smith</t>
  </si>
  <si>
    <t>UFA ($2.7M)</t>
  </si>
  <si>
    <t>Pelle Larsson</t>
  </si>
  <si>
    <t>RFA ($3.1M)</t>
  </si>
  <si>
    <t>Keshad Johnson</t>
  </si>
  <si>
    <t>Jahmir Young</t>
  </si>
  <si>
    <t>Scottie Barnes</t>
  </si>
  <si>
    <t>Brandon Ingram</t>
  </si>
  <si>
    <t>Immanuel Quickley</t>
  </si>
  <si>
    <t>R.J. Barrett</t>
  </si>
  <si>
    <t>Jakob Poeltl</t>
  </si>
  <si>
    <t>Ochai Agbaji</t>
  </si>
  <si>
    <t>Collin Murray-Boyles</t>
  </si>
  <si>
    <t>Gradey Dick</t>
  </si>
  <si>
    <t>Sandro Mamukelashvili</t>
  </si>
  <si>
    <t>Garrett Temple</t>
  </si>
  <si>
    <t>Jonathan Mogbo</t>
  </si>
  <si>
    <t>Jamal Shead</t>
  </si>
  <si>
    <t>Jamison Battle</t>
  </si>
  <si>
    <t>Alijah Martin</t>
  </si>
  <si>
    <t>Chucky Hepburn</t>
  </si>
  <si>
    <t>Depth Chart</t>
  </si>
  <si>
    <t>2025-26 %</t>
  </si>
  <si>
    <t>2026-27 %</t>
  </si>
  <si>
    <t>2027-28 %</t>
  </si>
  <si>
    <t>2028-29 %</t>
  </si>
  <si>
    <t>2029-30 %</t>
  </si>
  <si>
    <t>Christian Koloko</t>
  </si>
  <si>
    <t>Caleb Houstan</t>
  </si>
  <si>
    <t>RayJ Dennis</t>
  </si>
  <si>
    <t>incomplete roster charge up to 12 players 2026</t>
  </si>
  <si>
    <t>incomplete roster charge up to 12 players 2027</t>
  </si>
  <si>
    <t>incomplete roster charge up to 12 players 2028</t>
  </si>
  <si>
    <t>incomplete roster charge up to 12 players 2029</t>
  </si>
  <si>
    <t>CJ Mccollum</t>
  </si>
  <si>
    <t>RFA ($2.8M)</t>
  </si>
  <si>
    <t>Dalano Banton</t>
  </si>
  <si>
    <t>John Tonje</t>
  </si>
  <si>
    <t>Boston Celtics</t>
  </si>
  <si>
    <t>RFA ($28.9M)</t>
  </si>
  <si>
    <t>RFA ($19.2M)</t>
  </si>
  <si>
    <t>Day'Ron Sharpe</t>
  </si>
  <si>
    <t>RFA ($18.0M)</t>
  </si>
  <si>
    <t>Grant Nelson</t>
  </si>
  <si>
    <t>Xavier Tillman</t>
  </si>
  <si>
    <t>Tosan Evbuomwan</t>
  </si>
  <si>
    <t>Rob Dillingham</t>
  </si>
  <si>
    <t>RFA ($26.3M)</t>
  </si>
  <si>
    <t>Guerschon Yabusele</t>
  </si>
  <si>
    <t>UFA ($6.6M)</t>
  </si>
  <si>
    <t>Nick Richards</t>
  </si>
  <si>
    <t>UFA ($9.5M)</t>
  </si>
  <si>
    <t>Leonard Miller</t>
  </si>
  <si>
    <t>Mac McClung</t>
  </si>
  <si>
    <t>Tristan Enaruna</t>
  </si>
  <si>
    <t>Nae'Qwan Tomlin</t>
  </si>
  <si>
    <t>RFA ($3.8M)</t>
  </si>
  <si>
    <t>Riley Minix</t>
  </si>
  <si>
    <t>Keon Ellis</t>
  </si>
  <si>
    <t>Olivier Sarr</t>
  </si>
  <si>
    <t>Dennis Schröder</t>
  </si>
  <si>
    <t>UFA ($23.3M)</t>
  </si>
  <si>
    <t>UFA ($42.3M)</t>
  </si>
  <si>
    <t>Khris Middleton</t>
  </si>
  <si>
    <t>UFA ($51.0M)</t>
  </si>
  <si>
    <t>PJ Washington</t>
  </si>
  <si>
    <t>AJ Johnson</t>
  </si>
  <si>
    <t>Marvin Bagley III</t>
  </si>
  <si>
    <t>Tyler Smith</t>
  </si>
  <si>
    <t>John Poulakidas</t>
  </si>
  <si>
    <t>RFA ($2.9M)</t>
  </si>
  <si>
    <t>Tyus Jones</t>
  </si>
  <si>
    <t>K. J. Simpson</t>
  </si>
  <si>
    <t>David Roddy</t>
  </si>
  <si>
    <t>Kevin Huerter</t>
  </si>
  <si>
    <t>RFA ($38.4M)</t>
  </si>
  <si>
    <t>RFA ($5.4M)</t>
  </si>
  <si>
    <t>Jayonte Green</t>
  </si>
  <si>
    <t>UFA ($46.1M)</t>
  </si>
  <si>
    <t>De'Anthony Melton</t>
  </si>
  <si>
    <t>UFA ($10.2M)</t>
  </si>
  <si>
    <t>RFA ($1.3M)</t>
  </si>
  <si>
    <t>Jeenathan Williams</t>
  </si>
  <si>
    <t>Maleyv Leons</t>
  </si>
  <si>
    <t>Jae'Sean Tate</t>
  </si>
  <si>
    <t>UFA ($72.3M)</t>
  </si>
  <si>
    <t>Jalen Slawson</t>
  </si>
  <si>
    <t>UFA ($59.9M)</t>
  </si>
  <si>
    <t>Sean Pedulla</t>
  </si>
  <si>
    <t>Norchad Omier</t>
  </si>
  <si>
    <t>Luka Doncic</t>
  </si>
  <si>
    <t>UFA ($22.2M)</t>
  </si>
  <si>
    <t>Luke Kennard</t>
  </si>
  <si>
    <t>UFA ($13.2M)</t>
  </si>
  <si>
    <t>Taylor Hendricks</t>
  </si>
  <si>
    <t>UFA ($23.4M)</t>
  </si>
  <si>
    <t>Walter Clayton Jr.</t>
  </si>
  <si>
    <t>RFA ($20.3M)</t>
  </si>
  <si>
    <t>Taj Gibson</t>
  </si>
  <si>
    <t>Rayan Rupert</t>
  </si>
  <si>
    <t>Nikola Jovic</t>
  </si>
  <si>
    <t>Kel'el Ware</t>
  </si>
  <si>
    <t>Myron Gardner</t>
  </si>
  <si>
    <t>Trevor Keels</t>
  </si>
  <si>
    <t>Vladislav Goldin</t>
  </si>
  <si>
    <t>&lt;-- Sum of all guaranteed contracts</t>
  </si>
  <si>
    <t>&lt;-- Guaranteed total value plus the corresponding year's incomplete roster charge times amount of non guaranteed contracts under 15 roster spots</t>
  </si>
  <si>
    <t>&lt;-- Guaranteed total value plus option type contracts for the year</t>
  </si>
  <si>
    <t>&lt;-- Guaranteed total plus min roster value - Salary cap</t>
  </si>
  <si>
    <t>&lt;-- Guaranteed total plus min roster value - Tax Line value</t>
  </si>
  <si>
    <t>Player Option</t>
  </si>
  <si>
    <t>Club Option</t>
  </si>
  <si>
    <t>UFA Cap Hold</t>
  </si>
  <si>
    <t>RFA Cap Hold</t>
  </si>
  <si>
    <t>Starting 5</t>
  </si>
  <si>
    <t>Bench 5</t>
  </si>
  <si>
    <t>3rd Line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</si>
  <si>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</si>
  <si>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</si>
  <si>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</si>
  <si>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</si>
  <si>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</si>
  <si>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</si>
  <si>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Detriot Pistons</t>
  </si>
  <si>
    <t>Golden State Warriors</t>
  </si>
  <si>
    <t>Houstan Rockets</t>
  </si>
  <si>
    <t>Indiana Pacers</t>
  </si>
  <si>
    <t>Los Angeles Clippers</t>
  </si>
  <si>
    <t>Los Angeles Lakers</t>
  </si>
  <si>
    <t xml:space="preserve"> </t>
  </si>
  <si>
    <t>Memphis Grizzlies</t>
  </si>
  <si>
    <t>Miami Heat</t>
  </si>
  <si>
    <t>Giannis Antetokounmpo</t>
  </si>
  <si>
    <t>UFA ($66.9M)</t>
  </si>
  <si>
    <t>Myles Turner</t>
  </si>
  <si>
    <t>UFA ($43.7M)</t>
  </si>
  <si>
    <t>Kyle Kuzma</t>
  </si>
  <si>
    <t>UFA ($31.4M)</t>
  </si>
  <si>
    <t>Bobby Portis</t>
  </si>
  <si>
    <t>Ousmane Dieng</t>
  </si>
  <si>
    <t>RFA ($20.0M)</t>
  </si>
  <si>
    <t>Kevin Porter Jr.</t>
  </si>
  <si>
    <t>Ryan Rollins</t>
  </si>
  <si>
    <t>Gary Trent Jr.</t>
  </si>
  <si>
    <t>UFA ($7.4M)</t>
  </si>
  <si>
    <t>Gary Harris</t>
  </si>
  <si>
    <t>Taurean Prince</t>
  </si>
  <si>
    <t>Jericho Sims</t>
  </si>
  <si>
    <t>AJ Green</t>
  </si>
  <si>
    <t>Thanasis Antetokounmpo</t>
  </si>
  <si>
    <t>Andre Jackson Jr.</t>
  </si>
  <si>
    <t>Cameron Thomas</t>
  </si>
  <si>
    <t>Cormac Ryan</t>
  </si>
  <si>
    <t>Pete Nance</t>
  </si>
  <si>
    <t>Alex Antetokounmpo</t>
  </si>
  <si>
    <t>Milwaukee Bucks</t>
  </si>
  <si>
    <t>Minnesota Timberwolves</t>
  </si>
  <si>
    <t>Anthony Edwards</t>
  </si>
  <si>
    <t>Rudy Gobert</t>
  </si>
  <si>
    <t>UFA ($57.0M)</t>
  </si>
  <si>
    <t>Julius Randle</t>
  </si>
  <si>
    <t>UFA ($63.7M)</t>
  </si>
  <si>
    <t>Jaden McDaniels</t>
  </si>
  <si>
    <t>UFA ($44.7M)</t>
  </si>
  <si>
    <t>Naz Reid</t>
  </si>
  <si>
    <t>Donte DiVincenzo</t>
  </si>
  <si>
    <t>UFA ($23.8M)</t>
  </si>
  <si>
    <t>Ayo Dosunmu</t>
  </si>
  <si>
    <t>UFA ($14.3M)</t>
  </si>
  <si>
    <t>Joan Beringer</t>
  </si>
  <si>
    <t>RFA ($21.3M)</t>
  </si>
  <si>
    <t>Terrence Shannon Jr.</t>
  </si>
  <si>
    <t>RFA ($15.2M)</t>
  </si>
  <si>
    <t>Nah'Shon Hyland</t>
  </si>
  <si>
    <t>Joe Ingles</t>
  </si>
  <si>
    <t>Julian Phillips</t>
  </si>
  <si>
    <t>Jaylen Clark</t>
  </si>
  <si>
    <t>Mike Conley</t>
  </si>
  <si>
    <t>Kyle Anderson</t>
  </si>
  <si>
    <t>Rocco Zikarsky</t>
  </si>
  <si>
    <t>Zyon Pullin</t>
  </si>
  <si>
    <t>Enrique Freeman</t>
  </si>
  <si>
    <t>New Orleans Pelicans</t>
  </si>
  <si>
    <t>Zion Williamson</t>
  </si>
  <si>
    <t>Jordan Poole</t>
  </si>
  <si>
    <t>UFA ($51.3M)</t>
  </si>
  <si>
    <t>Dejounte Murray</t>
  </si>
  <si>
    <t>Trey Murphy III</t>
  </si>
  <si>
    <t>UFA ($46.5M)</t>
  </si>
  <si>
    <t>Herb Jones</t>
  </si>
  <si>
    <t>Kevon Looney</t>
  </si>
  <si>
    <t>UFA ($10.4M)</t>
  </si>
  <si>
    <t>Jeremiah Fears</t>
  </si>
  <si>
    <t>RFA ($31.5M)</t>
  </si>
  <si>
    <t>Saddiq Bey</t>
  </si>
  <si>
    <t>Derik Queen</t>
  </si>
  <si>
    <t>RFA ($24.3M)</t>
  </si>
  <si>
    <t>Jordan Hawkins</t>
  </si>
  <si>
    <t>RFA ($21.1M)</t>
  </si>
  <si>
    <t>Yves Missi</t>
  </si>
  <si>
    <t>RFA ($16.8M)</t>
  </si>
  <si>
    <t>DeAndre Jordan</t>
  </si>
  <si>
    <t>Karlo Matkovic</t>
  </si>
  <si>
    <t>Micah Peavy</t>
  </si>
  <si>
    <t>Bryce McGowens</t>
  </si>
  <si>
    <t>UFA ($2.9M)</t>
  </si>
  <si>
    <t>Josh Oduro</t>
  </si>
  <si>
    <t>Hunter Dickinson</t>
  </si>
  <si>
    <t>Trey Alexander</t>
  </si>
  <si>
    <t>Karl-Anthony Towns</t>
  </si>
  <si>
    <t>OG Anunoby</t>
  </si>
  <si>
    <t>UFA ($72.5M)</t>
  </si>
  <si>
    <t>Jalen Brunson</t>
  </si>
  <si>
    <t>UFA ($65.0M)</t>
  </si>
  <si>
    <t>Mikal Bridges</t>
  </si>
  <si>
    <t>Josh Hart</t>
  </si>
  <si>
    <t>UFA ($33.6M)</t>
  </si>
  <si>
    <t>Mitchell Robinson</t>
  </si>
  <si>
    <t>UFA ($24.6M)</t>
  </si>
  <si>
    <t>Jose Alvarado</t>
  </si>
  <si>
    <t>UFA ($6.8M)</t>
  </si>
  <si>
    <t>Miles McBride</t>
  </si>
  <si>
    <t>UFA ($7.5M)</t>
  </si>
  <si>
    <t>Pacome Dadiet</t>
  </si>
  <si>
    <t>RFA ($16.1M)</t>
  </si>
  <si>
    <t>Landry Shamet</t>
  </si>
  <si>
    <t>Jordan Clarkson</t>
  </si>
  <si>
    <t>Tyler Kolek</t>
  </si>
  <si>
    <t>Ariel Hukporti</t>
  </si>
  <si>
    <t>Mohamed Diawara</t>
  </si>
  <si>
    <t>RFA ($2.4M)</t>
  </si>
  <si>
    <t>Jeremy Sochan</t>
  </si>
  <si>
    <t>Kevin McCullar Jr.</t>
  </si>
  <si>
    <t>Dillon Jones</t>
  </si>
  <si>
    <t>Trey Jemison</t>
  </si>
  <si>
    <t>New York Knicks</t>
  </si>
  <si>
    <t>OKC Thunder</t>
  </si>
  <si>
    <t>Shai Gilgeous-Alexander</t>
  </si>
  <si>
    <t>Isaiah Hartenstein</t>
  </si>
  <si>
    <t>UFA ($42.8M)</t>
  </si>
  <si>
    <t>Luguentz Dort</t>
  </si>
  <si>
    <t>UFA ($27.3M)</t>
  </si>
  <si>
    <t>Alex Caruso</t>
  </si>
  <si>
    <t>UFA ($33.7M)</t>
  </si>
  <si>
    <t>Chet Holmgren</t>
  </si>
  <si>
    <t>Isaiah Joe</t>
  </si>
  <si>
    <t>UFA ($18.5M)</t>
  </si>
  <si>
    <t>Aaron Wiggins</t>
  </si>
  <si>
    <t>UFA ($15.9M)</t>
  </si>
  <si>
    <t>Jaylin Williams</t>
  </si>
  <si>
    <t>UFA ($14.8M)</t>
  </si>
  <si>
    <t>Kenrich Williams</t>
  </si>
  <si>
    <t>UFA ($13.6M)</t>
  </si>
  <si>
    <t>Jalen Williams</t>
  </si>
  <si>
    <t>Cason Wallace</t>
  </si>
  <si>
    <t>RFA ($22.3M)</t>
  </si>
  <si>
    <t>Nikola Topic</t>
  </si>
  <si>
    <t>RFA ($22.4M)</t>
  </si>
  <si>
    <t>Thomas Sorber</t>
  </si>
  <si>
    <t>RFA ($23.5M)</t>
  </si>
  <si>
    <t>Jared McCain</t>
  </si>
  <si>
    <t>RFA ($20.4M)</t>
  </si>
  <si>
    <t>Ajay Mitchell</t>
  </si>
  <si>
    <t>Payton Sandfort</t>
  </si>
  <si>
    <t>Branden Carlson</t>
  </si>
  <si>
    <t>Brooks Barnhizer</t>
  </si>
  <si>
    <t>Franz Wagner</t>
  </si>
  <si>
    <t>Desmond Bane</t>
  </si>
  <si>
    <t>UFA ($70.3M)</t>
  </si>
  <si>
    <t>Jalen Suggs</t>
  </si>
  <si>
    <t>Paolo Banchero</t>
  </si>
  <si>
    <t>Jonathan Isaac</t>
  </si>
  <si>
    <t>UFA ($22.5M)</t>
  </si>
  <si>
    <t>Wendell Carter Jr.</t>
  </si>
  <si>
    <t>Goga Bitadze</t>
  </si>
  <si>
    <t>UFA ($14.5M)</t>
  </si>
  <si>
    <t>Anthony Black</t>
  </si>
  <si>
    <t>Jett Howard</t>
  </si>
  <si>
    <t>Moritz Wagner</t>
  </si>
  <si>
    <t>Tristan Da Silva</t>
  </si>
  <si>
    <t>RFA ($18.4M)</t>
  </si>
  <si>
    <t>Jase Richardson</t>
  </si>
  <si>
    <t>RFA ($17.7M)</t>
  </si>
  <si>
    <t>Noah Penda</t>
  </si>
  <si>
    <t>Jevon Carter</t>
  </si>
  <si>
    <t>Alex Morales</t>
  </si>
  <si>
    <t>Colin Castleton</t>
  </si>
  <si>
    <t>Jamal Cain</t>
  </si>
  <si>
    <t>Orlando Magic</t>
  </si>
  <si>
    <t>Philadelphia 76ers</t>
  </si>
  <si>
    <t>Joel Embiid</t>
  </si>
  <si>
    <t>UFA ($70.8M)</t>
  </si>
  <si>
    <t>Paul George</t>
  </si>
  <si>
    <t>UFA ($63.9M)</t>
  </si>
  <si>
    <t>Tyrese Maxey</t>
  </si>
  <si>
    <t>VJ Edgecombe</t>
  </si>
  <si>
    <t>RFA ($46.3M)</t>
  </si>
  <si>
    <t>Quentin Grimes</t>
  </si>
  <si>
    <t>UFA ($16.6M)</t>
  </si>
  <si>
    <t>Kelly Oubre Jr.</t>
  </si>
  <si>
    <t>Andre Drummond</t>
  </si>
  <si>
    <t>UFA ($6.5M)</t>
  </si>
  <si>
    <t>Dominick Barlow</t>
  </si>
  <si>
    <t>UFA ($4.4M)</t>
  </si>
  <si>
    <t>Trendon Watford</t>
  </si>
  <si>
    <t>Kyle Lowry</t>
  </si>
  <si>
    <t>Justin Edwards</t>
  </si>
  <si>
    <t>Adem Bona</t>
  </si>
  <si>
    <t>Johni Broome</t>
  </si>
  <si>
    <t>Jabari Walker</t>
  </si>
  <si>
    <t>Cameron Payne</t>
  </si>
  <si>
    <t>RFA ($2.5M)</t>
  </si>
  <si>
    <t>Dalen Terry</t>
  </si>
  <si>
    <t>Tyrese Martin</t>
  </si>
  <si>
    <t>MarJon Beauchamp</t>
  </si>
  <si>
    <t>Devin Booker</t>
  </si>
  <si>
    <t>Jalen Green</t>
  </si>
  <si>
    <t>UFA ($54.0M)</t>
  </si>
  <si>
    <t>Dillon Brooks</t>
  </si>
  <si>
    <t>Grayson Allen</t>
  </si>
  <si>
    <t>UFA ($29.1M)</t>
  </si>
  <si>
    <t>Royce O’Neale</t>
  </si>
  <si>
    <t>UFA ($23.0M)</t>
  </si>
  <si>
    <t>Mark Williams</t>
  </si>
  <si>
    <t>RFA ($18.8M)</t>
  </si>
  <si>
    <t>Khaman Maluach</t>
  </si>
  <si>
    <t>RFA ($25.3M)</t>
  </si>
  <si>
    <t>Ryan Dunn</t>
  </si>
  <si>
    <t>Jordan Goodwin</t>
  </si>
  <si>
    <t>Collin Gillespie</t>
  </si>
  <si>
    <t>Amir Coffey</t>
  </si>
  <si>
    <t>Oso Ighodaro</t>
  </si>
  <si>
    <t>Rasheer Fleming</t>
  </si>
  <si>
    <t>Haywood Highsmith</t>
  </si>
  <si>
    <t>Jamaree Bouyea</t>
  </si>
  <si>
    <t>Isaiah Livers</t>
  </si>
  <si>
    <t>CJ Huntley</t>
  </si>
  <si>
    <t>Koby Brea</t>
  </si>
  <si>
    <t>Phoenix Suns</t>
  </si>
  <si>
    <t>Portland Trailblazers</t>
  </si>
  <si>
    <t>Jrue Holiday</t>
  </si>
  <si>
    <t>UFA ($55.8M)</t>
  </si>
  <si>
    <t>Jerami Grant</t>
  </si>
  <si>
    <t>UFA ($54.6M)</t>
  </si>
  <si>
    <t>Deni Avdija</t>
  </si>
  <si>
    <t>Damian Lillard</t>
  </si>
  <si>
    <t>UFA ($21.2M)</t>
  </si>
  <si>
    <t>Robert Williams III</t>
  </si>
  <si>
    <t>Matisse Thybulle</t>
  </si>
  <si>
    <t>Scoot Henderson</t>
  </si>
  <si>
    <t>RFA ($40.8M)</t>
  </si>
  <si>
    <t>Shaedon Sharpe</t>
  </si>
  <si>
    <t>Donovan Clingan</t>
  </si>
  <si>
    <t>RFA ($28.7M)</t>
  </si>
  <si>
    <t>Yang Hansen</t>
  </si>
  <si>
    <t>Kris Murray</t>
  </si>
  <si>
    <t>RFA ($15.9M)</t>
  </si>
  <si>
    <t>Vit Krejci</t>
  </si>
  <si>
    <t>Blake Wesley</t>
  </si>
  <si>
    <t>Toumani Camara</t>
  </si>
  <si>
    <t>Sidy Cissoko</t>
  </si>
  <si>
    <t>Chris Youngblood</t>
  </si>
  <si>
    <t>Caleb Love</t>
  </si>
  <si>
    <t>UFA ($2.2M)</t>
  </si>
  <si>
    <t>Jayson Kent</t>
  </si>
  <si>
    <t>Sacramento Kings</t>
  </si>
  <si>
    <t>Zach LaVine</t>
  </si>
  <si>
    <t>UFA ($56.6M)</t>
  </si>
  <si>
    <t>Domantas Sabonis</t>
  </si>
  <si>
    <t>DeMar DeRozan</t>
  </si>
  <si>
    <t>UFA ($38.6M)</t>
  </si>
  <si>
    <t>De’Andre Hunter</t>
  </si>
  <si>
    <t>UFA ($37.4M)</t>
  </si>
  <si>
    <t>Malik Monk</t>
  </si>
  <si>
    <t>Keegan Murray</t>
  </si>
  <si>
    <t>Devin Carter</t>
  </si>
  <si>
    <t>RFA ($22.1M)</t>
  </si>
  <si>
    <t>Nique Clifford</t>
  </si>
  <si>
    <t>RFA ($17.9M)</t>
  </si>
  <si>
    <t>Drew Eubanks</t>
  </si>
  <si>
    <t>Russell Westbrook</t>
  </si>
  <si>
    <t>Doug McDermott</t>
  </si>
  <si>
    <t>Precious Achiuwa</t>
  </si>
  <si>
    <t>Maxime Raynaud</t>
  </si>
  <si>
    <t>Dylan Cardwell</t>
  </si>
  <si>
    <t>Killian Hayes</t>
  </si>
  <si>
    <t>Isaiah Stevens</t>
  </si>
  <si>
    <t>Daeqwon Plowden</t>
  </si>
  <si>
    <t>Patrick Baldwin Jr.</t>
  </si>
  <si>
    <t>San Antonio Spurs</t>
  </si>
  <si>
    <t>De’Aaron Fox</t>
  </si>
  <si>
    <t>Devin Vassell</t>
  </si>
  <si>
    <t>UFA ($40.5M)</t>
  </si>
  <si>
    <t>Harrison Barnes</t>
  </si>
  <si>
    <t>Keldon Johnson</t>
  </si>
  <si>
    <t>Kelly Olynyk</t>
  </si>
  <si>
    <t>Victor Wembanyama</t>
  </si>
  <si>
    <t>RFA ($42.2M)</t>
  </si>
  <si>
    <t>Dylan Harper</t>
  </si>
  <si>
    <t>RFA ($42.9M)</t>
  </si>
  <si>
    <t>Luke Kornet</t>
  </si>
  <si>
    <t>UFA ($17.8M)</t>
  </si>
  <si>
    <t>Stephon Castle</t>
  </si>
  <si>
    <t>RFA ($38.0M)</t>
  </si>
  <si>
    <t>Carter Bryant</t>
  </si>
  <si>
    <t>RFA ($24.0M)</t>
  </si>
  <si>
    <t>Julian Champagnie</t>
  </si>
  <si>
    <t>UFA ($5.7M)</t>
  </si>
  <si>
    <t>Lindy Waters III</t>
  </si>
  <si>
    <t>Jordan McLaughlin</t>
  </si>
  <si>
    <t>Bismack Biyombo</t>
  </si>
  <si>
    <t>Mason Plumlee</t>
  </si>
  <si>
    <t>Emanuel Miller</t>
  </si>
  <si>
    <t>David Jones-Garcia</t>
  </si>
  <si>
    <t>Harrison Ingram</t>
  </si>
  <si>
    <t>Toronto Raptors</t>
  </si>
  <si>
    <t>UFA ($54.5M)</t>
  </si>
  <si>
    <t>UFA ($52.5M)</t>
  </si>
  <si>
    <t>UFA ($44.4M)</t>
  </si>
  <si>
    <t>RFA ($26.6M)</t>
  </si>
  <si>
    <t>Ja’Kobe Walter</t>
  </si>
  <si>
    <t>RFA ($17.6M)</t>
  </si>
  <si>
    <t>Trayce Jackson-Davis</t>
  </si>
  <si>
    <t>A.J. Lawson</t>
  </si>
  <si>
    <t>Lauri Markkanen</t>
  </si>
  <si>
    <t>Jaren Jackson Jr.</t>
  </si>
  <si>
    <t>Jusuf Nurkic</t>
  </si>
  <si>
    <t>Ace Bailey</t>
  </si>
  <si>
    <t>RFA ($37.9M)</t>
  </si>
  <si>
    <t>John Konchar</t>
  </si>
  <si>
    <t>UFA ($11.7M)</t>
  </si>
  <si>
    <t>Cody Williams</t>
  </si>
  <si>
    <t>RFA ($23.0M)</t>
  </si>
  <si>
    <t>Walker Kessler</t>
  </si>
  <si>
    <t>RFA ($14.6M)</t>
  </si>
  <si>
    <t>Keyonte George</t>
  </si>
  <si>
    <t>RFA ($19.7M)</t>
  </si>
  <si>
    <t>Kevin Love</t>
  </si>
  <si>
    <t>UFA ($7.9M)</t>
  </si>
  <si>
    <t>Sviatoslav Mykhailiuk</t>
  </si>
  <si>
    <t>Kyle Filipowski</t>
  </si>
  <si>
    <t>RFA ($5.7M)</t>
  </si>
  <si>
    <t>Brice Sensabaugh</t>
  </si>
  <si>
    <t>Isaiah Collier</t>
  </si>
  <si>
    <t>RFA ($15.0M)</t>
  </si>
  <si>
    <t>Bez Mbeng</t>
  </si>
  <si>
    <t>Andersson Garcia</t>
  </si>
  <si>
    <t>Oscar Tshiebwe</t>
  </si>
  <si>
    <t>Blake Hinson</t>
  </si>
  <si>
    <t>Elijah Harkless</t>
  </si>
  <si>
    <t>Utah Jazz</t>
  </si>
  <si>
    <t>Washington Wizards</t>
  </si>
  <si>
    <t>Anthony Davis</t>
  </si>
  <si>
    <t>Trae Young</t>
  </si>
  <si>
    <t>UFA ($49.0M)</t>
  </si>
  <si>
    <t>Alex Sarr</t>
  </si>
  <si>
    <t>RFA ($39.0M)</t>
  </si>
  <si>
    <t>Tre Johnson</t>
  </si>
  <si>
    <t>Bilal Coulibaly</t>
  </si>
  <si>
    <t>RFA ($27.7M)</t>
  </si>
  <si>
    <t>Jaden Hardy</t>
  </si>
  <si>
    <t>UFA ($11.4M)</t>
  </si>
  <si>
    <t>D’Angelo Russell</t>
  </si>
  <si>
    <t>Bub Carrington</t>
  </si>
  <si>
    <t>RFA ($21.8M)</t>
  </si>
  <si>
    <t>Cam Whitmore</t>
  </si>
  <si>
    <t>RFA ($16.4M)</t>
  </si>
  <si>
    <t>Will Riley</t>
  </si>
  <si>
    <t>RFA ($18.5M)</t>
  </si>
  <si>
    <t>Kyshawn George</t>
  </si>
  <si>
    <t>Tristan Vukcevic</t>
  </si>
  <si>
    <t>Justin Champagnie</t>
  </si>
  <si>
    <t>Anthony Gill</t>
  </si>
  <si>
    <t>Jamir Watkins</t>
  </si>
  <si>
    <t>Julian Reese</t>
  </si>
  <si>
    <t>Sharife Cooper</t>
  </si>
  <si>
    <t>Leaky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</si>
</sst>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_);[Red]\(&quot;$&quot;#,##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4">
    <xf numFmtId="0" fontId="0" fillId="0" borderId="0" xfId="0"/>
    <xf numFmtId="10" fontId="0" fillId="0" borderId="0" xfId="0" applyNumberFormat="1"/>
    <xf numFmtId="0" fontId="2" fillId="0" borderId="0" xfId="0" applyFont="1"/>
    <xf numFmtId="0" fontId="3" fillId="0" borderId="0" xfId="0" applyFont="1"/>
    <xf numFmtId="165" fontId="0" fillId="0" borderId="1" xfId="1" applyNumberFormat="1" applyFont="1" applyBorder="1"/>
    <xf numFmtId="0" fontId="5" fillId="0" borderId="0" xfId="0" applyFont="1"/>
    <xf numFmtId="0" fontId="0" fillId="0" borderId="3" xfId="0" applyBorder="1"/>
    <xf numFmtId="6" fontId="0" fillId="0" borderId="3" xfId="0" applyNumberFormat="1" applyBorder="1"/>
    <xf numFmtId="0" fontId="6" fillId="0" borderId="0" xfId="0" applyFont="1"/>
    <xf numFmtId="0" fontId="2" fillId="0" borderId="3" xfId="0" applyFont="1" applyBorder="1"/>
    <xf numFmtId="0" fontId="0" fillId="4" borderId="3" xfId="0" applyFill="1" applyBorder="1"/>
    <xf numFmtId="6" fontId="0" fillId="4" borderId="3" xfId="0" applyNumberFormat="1" applyFill="1" applyBorder="1"/>
    <xf numFmtId="0" fontId="0" fillId="5" borderId="3" xfId="0" applyFill="1" applyBorder="1"/>
    <xf numFmtId="6" fontId="0" fillId="3" borderId="3" xfId="0" applyNumberFormat="1" applyFill="1" applyBorder="1"/>
    <xf numFmtId="6" fontId="0" fillId="2" borderId="3" xfId="0" applyNumberFormat="1" applyFill="1" applyBorder="1"/>
    <xf numFmtId="6" fontId="0" fillId="5" borderId="3" xfId="0" applyNumberFormat="1" applyFill="1" applyBorder="1"/>
    <xf numFmtId="165" fontId="0" fillId="0" borderId="3" xfId="1" applyNumberFormat="1" applyFont="1" applyBorder="1"/>
    <xf numFmtId="0" fontId="3" fillId="0" borderId="3" xfId="0" applyFont="1" applyBorder="1"/>
    <xf numFmtId="0" fontId="0" fillId="0" borderId="3" xfId="0" applyBorder="1" applyAlignment="1">
      <alignment horizontal="center" vertical="center"/>
    </xf>
    <xf numFmtId="10" fontId="3" fillId="0" borderId="3" xfId="0" applyNumberFormat="1" applyFont="1" applyBorder="1"/>
    <xf numFmtId="165" fontId="0" fillId="4" borderId="3" xfId="1" applyNumberFormat="1" applyFont="1" applyFill="1" applyBorder="1"/>
    <xf numFmtId="10" fontId="3" fillId="4" borderId="3" xfId="0" applyNumberFormat="1" applyFont="1" applyFill="1" applyBorder="1"/>
    <xf numFmtId="165" fontId="0" fillId="3" borderId="3" xfId="1" applyNumberFormat="1" applyFont="1" applyFill="1" applyBorder="1"/>
    <xf numFmtId="10" fontId="3" fillId="3" borderId="3" xfId="0" applyNumberFormat="1" applyFont="1" applyFill="1" applyBorder="1"/>
    <xf numFmtId="165" fontId="0" fillId="2" borderId="3" xfId="1" applyNumberFormat="1" applyFont="1" applyFill="1" applyBorder="1"/>
    <xf numFmtId="10" fontId="3" fillId="2" borderId="3" xfId="0" applyNumberFormat="1" applyFont="1" applyFill="1" applyBorder="1"/>
    <xf numFmtId="165" fontId="0" fillId="5" borderId="3" xfId="1" applyNumberFormat="1" applyFont="1" applyFill="1" applyBorder="1"/>
    <xf numFmtId="10" fontId="3" fillId="5" borderId="3" xfId="0" applyNumberFormat="1" applyFont="1" applyFill="1" applyBorder="1"/>
    <xf numFmtId="165" fontId="0" fillId="0" borderId="3" xfId="1" applyNumberFormat="1" applyFont="1" applyFill="1" applyBorder="1"/>
    <xf numFmtId="165" fontId="3" fillId="0" borderId="3" xfId="1" applyNumberFormat="1" applyFont="1" applyBorder="1"/>
    <xf numFmtId="165" fontId="0" fillId="0" borderId="0" xfId="1" applyNumberFormat="1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65" fontId="2" fillId="0" borderId="3" xfId="1" applyNumberFormat="1" applyFont="1" applyBorder="1"/>
    <xf numFmtId="0" fontId="8" fillId="0" borderId="3" xfId="0" applyFont="1" applyBorder="1"/>
    <xf numFmtId="0" fontId="2" fillId="0" borderId="3" xfId="0" applyFont="1" applyBorder="1" applyAlignment="1">
      <alignment horizontal="center" vertical="center"/>
    </xf>
    <xf numFmtId="10" fontId="0" fillId="0" borderId="3" xfId="0" applyNumberFormat="1" applyBorder="1"/>
    <xf numFmtId="10" fontId="0" fillId="2" borderId="3" xfId="0" applyNumberFormat="1" applyFill="1" applyBorder="1"/>
    <xf numFmtId="10" fontId="0" fillId="4" borderId="3" xfId="0" applyNumberFormat="1" applyFill="1" applyBorder="1"/>
    <xf numFmtId="10" fontId="0" fillId="3" borderId="3" xfId="0" applyNumberFormat="1" applyFill="1" applyBorder="1"/>
    <xf numFmtId="10" fontId="0" fillId="5" borderId="3" xfId="0" applyNumberFormat="1" applyFill="1" applyBorder="1"/>
    <xf numFmtId="166" fontId="0" fillId="0" borderId="3" xfId="0" applyNumberFormat="1" applyBorder="1"/>
    <xf numFmtId="0" fontId="0" fillId="0" borderId="11" xfId="0" applyBorder="1" applyAlignment="1">
      <alignment horizontal="center" vertical="center"/>
    </xf>
    <xf numFmtId="6" fontId="0" fillId="0" borderId="11" xfId="0" applyNumberFormat="1" applyBorder="1"/>
    <xf numFmtId="10" fontId="0" fillId="0" borderId="11" xfId="0" applyNumberFormat="1" applyBorder="1"/>
    <xf numFmtId="6" fontId="0" fillId="2" borderId="11" xfId="0" applyNumberFormat="1" applyFill="1" applyBorder="1"/>
    <xf numFmtId="10" fontId="0" fillId="2" borderId="11" xfId="0" applyNumberFormat="1" applyFill="1" applyBorder="1"/>
    <xf numFmtId="0" fontId="2" fillId="0" borderId="15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6" xfId="0" applyFont="1" applyBorder="1"/>
    <xf numFmtId="0" fontId="2" fillId="0" borderId="11" xfId="0" applyFont="1" applyBorder="1"/>
    <xf numFmtId="0" fontId="2" fillId="0" borderId="17" xfId="0" applyFont="1" applyBorder="1"/>
    <xf numFmtId="0" fontId="4" fillId="0" borderId="3" xfId="0" applyFont="1" applyBorder="1"/>
    <xf numFmtId="6" fontId="4" fillId="0" borderId="3" xfId="0" applyNumberFormat="1" applyFont="1" applyBorder="1"/>
    <xf numFmtId="10" fontId="4" fillId="0" borderId="3" xfId="0" applyNumberFormat="1" applyFont="1" applyBorder="1"/>
    <xf numFmtId="0" fontId="4" fillId="4" borderId="3" xfId="0" applyFont="1" applyFill="1" applyBorder="1"/>
    <xf numFmtId="10" fontId="4" fillId="4" borderId="3" xfId="0" applyNumberFormat="1" applyFont="1" applyFill="1" applyBorder="1"/>
    <xf numFmtId="6" fontId="4" fillId="3" borderId="3" xfId="0" applyNumberFormat="1" applyFont="1" applyFill="1" applyBorder="1"/>
    <xf numFmtId="10" fontId="4" fillId="3" borderId="3" xfId="0" applyNumberFormat="1" applyFont="1" applyFill="1" applyBorder="1"/>
    <xf numFmtId="0" fontId="4" fillId="5" borderId="3" xfId="0" applyFont="1" applyFill="1" applyBorder="1"/>
    <xf numFmtId="10" fontId="4" fillId="5" borderId="3" xfId="0" applyNumberFormat="1" applyFont="1" applyFill="1" applyBorder="1"/>
    <xf numFmtId="6" fontId="4" fillId="5" borderId="3" xfId="0" applyNumberFormat="1" applyFont="1" applyFill="1" applyBorder="1"/>
    <xf numFmtId="6" fontId="4" fillId="4" borderId="3" xfId="0" applyNumberFormat="1" applyFont="1" applyFill="1" applyBorder="1"/>
    <xf numFmtId="0" fontId="9" fillId="0" borderId="3" xfId="0" applyFont="1" applyBorder="1"/>
    <xf numFmtId="6" fontId="4" fillId="2" borderId="3" xfId="0" applyNumberFormat="1" applyFont="1" applyFill="1" applyBorder="1"/>
    <xf numFmtId="0" fontId="2" fillId="0" borderId="3" xfId="0" applyFont="1" applyBorder="1" applyAlignment="1">
      <alignment wrapText="1"/>
    </xf>
    <xf numFmtId="6" fontId="10" fillId="0" borderId="0" xfId="0" applyNumberFormat="1" applyFont="1"/>
    <xf numFmtId="0" fontId="2" fillId="0" borderId="18" xfId="0" applyFont="1" applyBorder="1"/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Font="1" applyAlignment="1"/>
    <xf numFmtId="0" fontId="2" fillId="0" borderId="0" xfId="0" applyFont="1" applyAlignment="1"/>
    <xf numFmtId="0" fontId="2" fillId="0" borderId="3" xfId="0" applyFont="1" applyBorder="1" applyAlignment="1"/>
    <xf numFmtId="0" fontId="0" fillId="0" borderId="3" xfId="0" applyFont="1" applyBorder="1" applyAlignment="1"/>
    <xf numFmtId="6" fontId="0" fillId="0" borderId="3" xfId="0" applyNumberFormat="1" applyFont="1" applyBorder="1" applyAlignment="1"/>
    <xf numFmtId="10" fontId="0" fillId="0" borderId="3" xfId="0" applyNumberFormat="1" applyFont="1" applyBorder="1" applyAlignment="1"/>
    <xf numFmtId="0" fontId="0" fillId="4" borderId="3" xfId="0" applyFont="1" applyFill="1" applyBorder="1" applyAlignment="1"/>
    <xf numFmtId="10" fontId="0" fillId="4" borderId="3" xfId="0" applyNumberFormat="1" applyFont="1" applyFill="1" applyBorder="1" applyAlignment="1"/>
    <xf numFmtId="0" fontId="0" fillId="5" borderId="3" xfId="0" applyFont="1" applyFill="1" applyBorder="1" applyAlignment="1"/>
    <xf numFmtId="10" fontId="0" fillId="5" borderId="3" xfId="0" applyNumberFormat="1" applyFont="1" applyFill="1" applyBorder="1" applyAlignment="1"/>
    <xf numFmtId="6" fontId="0" fillId="3" borderId="3" xfId="0" applyNumberFormat="1" applyFont="1" applyFill="1" applyBorder="1" applyAlignment="1"/>
    <xf numFmtId="10" fontId="0" fillId="3" borderId="3" xfId="0" applyNumberFormat="1" applyFont="1" applyFill="1" applyBorder="1" applyAlignment="1"/>
    <xf numFmtId="6" fontId="0" fillId="2" borderId="3" xfId="0" applyNumberFormat="1" applyFont="1" applyFill="1" applyBorder="1" applyAlignment="1"/>
    <xf numFmtId="10" fontId="0" fillId="2" borderId="3" xfId="0" applyNumberFormat="1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99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0C40-4F37-431E-9E96-A349C6C85675}">
  <dimension ref="A1:T34"/>
  <sheetViews>
    <sheetView zoomScaleNormal="100" workbookViewId="0">
      <pane ySplit="2" topLeftCell="A3" activePane="bottomLeft" state="frozen"/>
      <selection pane="bottomLeft" activeCell="O19" sqref="O19"/>
    </sheetView>
  </sheetViews>
  <sheetFormatPr defaultRowHeight="15" x14ac:dyDescent="0.25"/>
  <cols>
    <col min="1" max="1" width="23.5703125" bestFit="1" customWidth="1"/>
    <col min="2" max="2" width="4.42578125" customWidth="1"/>
    <col min="3" max="3" width="4.28515625" bestFit="1" customWidth="1"/>
    <col min="4" max="4" width="13.7109375" style="30" bestFit="1" customWidth="1"/>
    <col min="5" max="5" width="11.5703125" style="3" bestFit="1" customWidth="1"/>
    <col min="6" max="6" width="14.5703125" style="30" bestFit="1" customWidth="1"/>
    <col min="7" max="7" width="10.7109375" style="3" bestFit="1" customWidth="1"/>
    <col min="8" max="8" width="14" style="30" bestFit="1" customWidth="1"/>
    <col min="9" max="9" width="10.7109375" style="3" bestFit="1" customWidth="1"/>
    <col min="10" max="10" width="14" style="30" bestFit="1" customWidth="1"/>
    <col min="11" max="11" width="10.7109375" style="3" bestFit="1" customWidth="1"/>
    <col min="12" max="12" width="14" style="30" bestFit="1" customWidth="1"/>
    <col min="13" max="13" width="10.7109375" style="3" bestFit="1" customWidth="1"/>
    <col min="15" max="15" width="13.28515625" bestFit="1" customWidth="1"/>
    <col min="16" max="16" width="15" bestFit="1" customWidth="1"/>
    <col min="17" max="17" width="24.140625" bestFit="1" customWidth="1"/>
    <col min="18" max="18" width="18.140625" bestFit="1" customWidth="1"/>
    <col min="19" max="19" width="17.5703125" bestFit="1" customWidth="1"/>
    <col min="20" max="20" width="16.5703125" bestFit="1" customWidth="1"/>
  </cols>
  <sheetData>
    <row r="1" spans="1:20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 spans="1:20" x14ac:dyDescent="0.25">
      <c r="A2" s="9" t="s">
        <v>1</v>
      </c>
      <c r="B2" s="9" t="s">
        <v>2</v>
      </c>
      <c r="C2" s="9" t="s">
        <v>3</v>
      </c>
      <c r="D2" s="35" t="s">
        <v>4</v>
      </c>
      <c r="E2" s="36" t="s">
        <v>396</v>
      </c>
      <c r="F2" s="35" t="s">
        <v>5</v>
      </c>
      <c r="G2" s="36" t="s">
        <v>397</v>
      </c>
      <c r="H2" s="35" t="s">
        <v>6</v>
      </c>
      <c r="I2" s="36" t="s">
        <v>398</v>
      </c>
      <c r="J2" s="35" t="s">
        <v>7</v>
      </c>
      <c r="K2" s="36" t="s">
        <v>399</v>
      </c>
      <c r="L2" s="35" t="s">
        <v>8</v>
      </c>
      <c r="M2" s="36" t="s">
        <v>400</v>
      </c>
    </row>
    <row r="3" spans="1:20" x14ac:dyDescent="0.25">
      <c r="A3" s="37" t="s">
        <v>408</v>
      </c>
      <c r="B3" s="18" t="s">
        <v>11</v>
      </c>
      <c r="C3" s="18">
        <v>34</v>
      </c>
      <c r="D3" s="16">
        <v>30666666</v>
      </c>
      <c r="E3" s="19">
        <v>0.19800000000000001</v>
      </c>
      <c r="F3" s="20" t="s">
        <v>12</v>
      </c>
      <c r="G3" s="21">
        <v>0.27700000000000002</v>
      </c>
      <c r="H3" s="16"/>
      <c r="I3" s="17"/>
      <c r="J3" s="16"/>
      <c r="K3" s="17"/>
      <c r="L3" s="16"/>
      <c r="M3" s="17"/>
      <c r="O3" s="31" t="s">
        <v>484</v>
      </c>
      <c r="P3" s="2"/>
      <c r="Q3" s="2"/>
    </row>
    <row r="4" spans="1:20" x14ac:dyDescent="0.25">
      <c r="A4" s="37" t="s">
        <v>13</v>
      </c>
      <c r="B4" s="18" t="s">
        <v>14</v>
      </c>
      <c r="C4" s="18">
        <v>24</v>
      </c>
      <c r="D4" s="16">
        <v>30000000</v>
      </c>
      <c r="E4" s="19">
        <v>0.19400000000000001</v>
      </c>
      <c r="F4" s="16">
        <v>30000000</v>
      </c>
      <c r="G4" s="19">
        <v>0.18099999999999999</v>
      </c>
      <c r="H4" s="16">
        <v>30000000</v>
      </c>
      <c r="I4" s="19">
        <v>0.17199999999999999</v>
      </c>
      <c r="J4" s="16">
        <v>30000000</v>
      </c>
      <c r="K4" s="19">
        <v>0.16400000000000001</v>
      </c>
      <c r="L4" s="16">
        <v>30000000</v>
      </c>
      <c r="M4" s="19">
        <v>0.156</v>
      </c>
      <c r="O4" s="32" t="s">
        <v>485</v>
      </c>
    </row>
    <row r="5" spans="1:20" x14ac:dyDescent="0.25">
      <c r="A5" s="37" t="s">
        <v>235</v>
      </c>
      <c r="B5" s="18" t="s">
        <v>10</v>
      </c>
      <c r="C5" s="18">
        <v>23</v>
      </c>
      <c r="D5" s="28">
        <v>23780172</v>
      </c>
      <c r="E5" s="19">
        <v>0.154</v>
      </c>
      <c r="F5" s="22">
        <v>24300000</v>
      </c>
      <c r="G5" s="23">
        <v>0.14599999999999999</v>
      </c>
      <c r="H5" s="20" t="s">
        <v>236</v>
      </c>
      <c r="I5" s="21">
        <v>0.20899999999999999</v>
      </c>
      <c r="J5" s="16"/>
      <c r="K5" s="17"/>
      <c r="L5" s="16"/>
      <c r="M5" s="19"/>
      <c r="O5" s="33" t="s">
        <v>486</v>
      </c>
    </row>
    <row r="6" spans="1:20" x14ac:dyDescent="0.25">
      <c r="A6" s="37" t="s">
        <v>15</v>
      </c>
      <c r="B6" s="18" t="s">
        <v>11</v>
      </c>
      <c r="C6" s="18">
        <v>27</v>
      </c>
      <c r="D6" s="16">
        <v>15161800</v>
      </c>
      <c r="E6" s="19">
        <v>9.8000000000000004E-2</v>
      </c>
      <c r="F6" s="16">
        <v>14403710</v>
      </c>
      <c r="G6" s="19">
        <v>8.6999999999999994E-2</v>
      </c>
      <c r="H6" s="16">
        <v>15161800</v>
      </c>
      <c r="I6" s="19">
        <v>8.6999999999999994E-2</v>
      </c>
      <c r="J6" s="24">
        <v>15919890</v>
      </c>
      <c r="K6" s="25">
        <v>8.6999999999999994E-2</v>
      </c>
      <c r="L6" s="20" t="s">
        <v>16</v>
      </c>
      <c r="M6" s="21">
        <v>0.124</v>
      </c>
      <c r="O6" s="34" t="s">
        <v>487</v>
      </c>
    </row>
    <row r="7" spans="1:20" x14ac:dyDescent="0.25">
      <c r="A7" s="37" t="s">
        <v>17</v>
      </c>
      <c r="B7" s="18" t="s">
        <v>18</v>
      </c>
      <c r="C7" s="18">
        <v>25</v>
      </c>
      <c r="D7" s="16">
        <v>15000000</v>
      </c>
      <c r="E7" s="19">
        <v>9.7000000000000003E-2</v>
      </c>
      <c r="F7" s="16">
        <v>16100000</v>
      </c>
      <c r="G7" s="19">
        <v>9.7000000000000003E-2</v>
      </c>
      <c r="H7" s="16">
        <v>16880000</v>
      </c>
      <c r="I7" s="19">
        <v>9.7000000000000003E-2</v>
      </c>
      <c r="J7" s="20" t="s">
        <v>19</v>
      </c>
      <c r="K7" s="21">
        <v>0.13800000000000001</v>
      </c>
      <c r="L7" s="16"/>
      <c r="M7" s="17"/>
      <c r="O7" s="2"/>
    </row>
    <row r="8" spans="1:20" x14ac:dyDescent="0.25">
      <c r="A8" s="37" t="s">
        <v>20</v>
      </c>
      <c r="B8" s="18" t="s">
        <v>14</v>
      </c>
      <c r="C8" s="18">
        <v>26</v>
      </c>
      <c r="D8" s="16">
        <v>13975000</v>
      </c>
      <c r="E8" s="19">
        <v>0.09</v>
      </c>
      <c r="F8" s="16">
        <v>13975000</v>
      </c>
      <c r="G8" s="19">
        <v>8.4000000000000005E-2</v>
      </c>
      <c r="H8" s="16">
        <v>13025000</v>
      </c>
      <c r="I8" s="19">
        <v>7.4999999999999997E-2</v>
      </c>
      <c r="J8" s="22">
        <v>13025000</v>
      </c>
      <c r="K8" s="23">
        <v>7.0999999999999994E-2</v>
      </c>
      <c r="L8" s="20" t="s">
        <v>21</v>
      </c>
      <c r="M8" s="21">
        <v>0.129</v>
      </c>
    </row>
    <row r="9" spans="1:20" x14ac:dyDescent="0.25">
      <c r="A9" s="37" t="s">
        <v>22</v>
      </c>
      <c r="B9" s="18" t="s">
        <v>14</v>
      </c>
      <c r="C9" s="18">
        <v>20</v>
      </c>
      <c r="D9" s="16">
        <v>13197720</v>
      </c>
      <c r="E9" s="19">
        <v>8.5000000000000006E-2</v>
      </c>
      <c r="F9" s="16">
        <v>13826040</v>
      </c>
      <c r="G9" s="19">
        <v>8.3000000000000004E-2</v>
      </c>
      <c r="H9" s="22">
        <v>17434637</v>
      </c>
      <c r="I9" s="23">
        <v>0.1</v>
      </c>
      <c r="J9" s="26" t="s">
        <v>23</v>
      </c>
      <c r="K9" s="27">
        <v>0.23799999999999999</v>
      </c>
      <c r="L9" s="16"/>
      <c r="M9" s="17"/>
      <c r="O9" s="2" t="s">
        <v>395</v>
      </c>
      <c r="P9" t="s">
        <v>25</v>
      </c>
      <c r="Q9" t="s">
        <v>11</v>
      </c>
      <c r="R9" t="s">
        <v>14</v>
      </c>
      <c r="S9" t="s">
        <v>10</v>
      </c>
      <c r="T9" t="s">
        <v>18</v>
      </c>
    </row>
    <row r="10" spans="1:20" x14ac:dyDescent="0.25">
      <c r="A10" s="37" t="s">
        <v>322</v>
      </c>
      <c r="B10" s="18" t="s">
        <v>25</v>
      </c>
      <c r="C10" s="18">
        <v>29</v>
      </c>
      <c r="D10" s="16">
        <v>11500000</v>
      </c>
      <c r="E10" s="19">
        <v>7.3999999999999996E-2</v>
      </c>
      <c r="F10" s="20" t="s">
        <v>323</v>
      </c>
      <c r="G10" s="21">
        <v>0.13200000000000001</v>
      </c>
      <c r="H10" s="16"/>
      <c r="I10" s="17"/>
      <c r="J10" s="16"/>
      <c r="K10" s="17"/>
      <c r="L10" s="16"/>
      <c r="M10" s="17"/>
      <c r="O10" t="s">
        <v>488</v>
      </c>
      <c r="P10" s="37" t="s">
        <v>408</v>
      </c>
      <c r="Q10" s="37" t="s">
        <v>15</v>
      </c>
      <c r="R10" s="37" t="s">
        <v>24</v>
      </c>
      <c r="S10" s="37" t="s">
        <v>13</v>
      </c>
      <c r="T10" s="37" t="s">
        <v>17</v>
      </c>
    </row>
    <row r="11" spans="1:20" x14ac:dyDescent="0.25">
      <c r="A11" s="37" t="s">
        <v>239</v>
      </c>
      <c r="B11" s="18" t="s">
        <v>11</v>
      </c>
      <c r="C11" s="18">
        <v>33</v>
      </c>
      <c r="D11" s="16">
        <v>9219512</v>
      </c>
      <c r="E11" s="19">
        <v>0.06</v>
      </c>
      <c r="F11" s="16">
        <v>9658536</v>
      </c>
      <c r="G11" s="19">
        <v>5.8000000000000003E-2</v>
      </c>
      <c r="H11" s="24">
        <v>10097560</v>
      </c>
      <c r="I11" s="25">
        <v>5.8000000000000003E-2</v>
      </c>
      <c r="J11" s="20" t="s">
        <v>240</v>
      </c>
      <c r="K11" s="21">
        <v>0.105</v>
      </c>
      <c r="L11" s="16"/>
      <c r="M11" s="19"/>
      <c r="O11" t="s">
        <v>489</v>
      </c>
      <c r="P11" s="37" t="s">
        <v>28</v>
      </c>
      <c r="Q11" s="37" t="s">
        <v>20</v>
      </c>
      <c r="R11" s="37" t="s">
        <v>22</v>
      </c>
      <c r="S11" s="37" t="s">
        <v>235</v>
      </c>
      <c r="T11" s="37" t="s">
        <v>352</v>
      </c>
    </row>
    <row r="12" spans="1:20" x14ac:dyDescent="0.25">
      <c r="A12" s="37" t="s">
        <v>24</v>
      </c>
      <c r="B12" s="18" t="s">
        <v>25</v>
      </c>
      <c r="C12" s="18">
        <v>22</v>
      </c>
      <c r="D12" s="16">
        <v>7707709</v>
      </c>
      <c r="E12" s="19">
        <v>0.05</v>
      </c>
      <c r="F12" s="16">
        <v>25000000</v>
      </c>
      <c r="G12" s="19">
        <v>0.151</v>
      </c>
      <c r="H12" s="16">
        <v>25000000</v>
      </c>
      <c r="I12" s="19">
        <v>0.14299999999999999</v>
      </c>
      <c r="J12" s="16">
        <v>25000000</v>
      </c>
      <c r="K12" s="19">
        <v>0.13700000000000001</v>
      </c>
      <c r="L12" s="16">
        <v>25000000</v>
      </c>
      <c r="M12" s="19">
        <v>0.13</v>
      </c>
      <c r="O12" t="s">
        <v>490</v>
      </c>
      <c r="P12" s="37" t="s">
        <v>322</v>
      </c>
      <c r="Q12" s="37" t="s">
        <v>239</v>
      </c>
      <c r="R12" s="37" t="s">
        <v>402</v>
      </c>
      <c r="S12" s="37" t="s">
        <v>26</v>
      </c>
      <c r="T12" s="37" t="s">
        <v>401</v>
      </c>
    </row>
    <row r="13" spans="1:20" x14ac:dyDescent="0.25">
      <c r="A13" s="37" t="s">
        <v>26</v>
      </c>
      <c r="B13" s="18" t="s">
        <v>10</v>
      </c>
      <c r="C13" s="18">
        <v>20</v>
      </c>
      <c r="D13" s="16">
        <v>3237480</v>
      </c>
      <c r="E13" s="19">
        <v>2.1000000000000001E-2</v>
      </c>
      <c r="F13" s="16">
        <v>3399480</v>
      </c>
      <c r="G13" s="19">
        <v>0.02</v>
      </c>
      <c r="H13" s="22">
        <v>3560880</v>
      </c>
      <c r="I13" s="23">
        <v>0.02</v>
      </c>
      <c r="J13" s="22">
        <v>6042814</v>
      </c>
      <c r="K13" s="23">
        <v>3.3000000000000002E-2</v>
      </c>
      <c r="L13" s="26" t="s">
        <v>27</v>
      </c>
      <c r="M13" s="27">
        <v>9.4E-2</v>
      </c>
      <c r="P13" s="37" t="s">
        <v>403</v>
      </c>
      <c r="S13" s="37" t="s">
        <v>31</v>
      </c>
    </row>
    <row r="14" spans="1:20" x14ac:dyDescent="0.25">
      <c r="A14" s="37" t="s">
        <v>28</v>
      </c>
      <c r="B14" s="18" t="s">
        <v>29</v>
      </c>
      <c r="C14" s="18">
        <v>26</v>
      </c>
      <c r="D14" s="16">
        <v>2296274</v>
      </c>
      <c r="E14" s="19">
        <v>1.4999999999999999E-2</v>
      </c>
      <c r="F14" s="26" t="s">
        <v>30</v>
      </c>
      <c r="G14" s="27">
        <v>2.1000000000000001E-2</v>
      </c>
      <c r="H14" s="16"/>
      <c r="I14" s="17"/>
      <c r="J14" s="16"/>
      <c r="K14" s="17"/>
      <c r="L14" s="16"/>
      <c r="M14" s="17"/>
    </row>
    <row r="15" spans="1:20" x14ac:dyDescent="0.25">
      <c r="A15" s="37" t="s">
        <v>352</v>
      </c>
      <c r="B15" s="18" t="s">
        <v>18</v>
      </c>
      <c r="C15" s="18">
        <v>30</v>
      </c>
      <c r="D15" s="16">
        <v>2296274</v>
      </c>
      <c r="E15" s="19">
        <v>1.4999999999999999E-2</v>
      </c>
      <c r="F15" s="20" t="s">
        <v>57</v>
      </c>
      <c r="G15" s="21">
        <v>1.4999999999999999E-2</v>
      </c>
      <c r="H15" s="16"/>
      <c r="I15" s="17"/>
      <c r="J15" s="16"/>
      <c r="K15" s="17"/>
      <c r="L15" s="16"/>
      <c r="M15" s="17"/>
    </row>
    <row r="16" spans="1:20" x14ac:dyDescent="0.25">
      <c r="A16" s="37" t="s">
        <v>31</v>
      </c>
      <c r="B16" s="18" t="s">
        <v>10</v>
      </c>
      <c r="C16" s="18">
        <v>23</v>
      </c>
      <c r="D16" s="16">
        <v>2221677</v>
      </c>
      <c r="E16" s="19">
        <v>1.4E-2</v>
      </c>
      <c r="F16" s="22">
        <v>2406205</v>
      </c>
      <c r="G16" s="23">
        <v>1.4E-2</v>
      </c>
      <c r="H16" s="20" t="s">
        <v>32</v>
      </c>
      <c r="I16" s="21">
        <v>1.7000000000000001E-2</v>
      </c>
      <c r="J16" s="16"/>
      <c r="K16" s="17"/>
      <c r="L16" s="16"/>
      <c r="M16" s="17"/>
    </row>
    <row r="17" spans="1:13" x14ac:dyDescent="0.25">
      <c r="A17" s="37"/>
      <c r="B17" s="18"/>
      <c r="C17" s="18"/>
      <c r="D17" s="16"/>
      <c r="E17" s="19"/>
      <c r="F17" s="16"/>
      <c r="G17" s="19"/>
      <c r="H17" s="28"/>
      <c r="I17" s="19"/>
      <c r="J17" s="28"/>
      <c r="K17" s="19"/>
      <c r="L17" s="16"/>
      <c r="M17" s="17"/>
    </row>
    <row r="18" spans="1:13" x14ac:dyDescent="0.25">
      <c r="A18" s="37" t="s">
        <v>401</v>
      </c>
      <c r="B18" s="18" t="s">
        <v>18</v>
      </c>
      <c r="C18" s="18">
        <v>25</v>
      </c>
      <c r="D18" s="16" t="s">
        <v>63</v>
      </c>
      <c r="E18" s="17"/>
      <c r="F18" s="26" t="s">
        <v>64</v>
      </c>
      <c r="G18" s="27">
        <v>1.2999999999999999E-2</v>
      </c>
      <c r="H18" s="16"/>
      <c r="I18" s="17"/>
      <c r="J18" s="16"/>
      <c r="K18" s="17"/>
      <c r="L18" s="16"/>
      <c r="M18" s="17"/>
    </row>
    <row r="19" spans="1:13" x14ac:dyDescent="0.25">
      <c r="A19" s="37" t="s">
        <v>402</v>
      </c>
      <c r="B19" s="18" t="s">
        <v>14</v>
      </c>
      <c r="C19" s="18">
        <v>23</v>
      </c>
      <c r="D19" s="16" t="s">
        <v>63</v>
      </c>
      <c r="E19" s="17"/>
      <c r="F19" s="26" t="s">
        <v>64</v>
      </c>
      <c r="G19" s="27">
        <v>1.2999999999999999E-2</v>
      </c>
      <c r="H19" s="16"/>
      <c r="I19" s="17"/>
      <c r="J19" s="16"/>
      <c r="K19" s="17"/>
      <c r="L19" s="16"/>
      <c r="M19" s="17"/>
    </row>
    <row r="20" spans="1:13" x14ac:dyDescent="0.25">
      <c r="A20" s="37" t="s">
        <v>403</v>
      </c>
      <c r="B20" s="18" t="s">
        <v>25</v>
      </c>
      <c r="C20" s="18">
        <v>24</v>
      </c>
      <c r="D20" s="16" t="s">
        <v>63</v>
      </c>
      <c r="E20" s="17"/>
      <c r="F20" s="16" t="s">
        <v>63</v>
      </c>
      <c r="G20" s="17"/>
      <c r="H20" s="26" t="s">
        <v>64</v>
      </c>
      <c r="I20" s="27">
        <v>1.2999999999999999E-2</v>
      </c>
      <c r="J20" s="16"/>
      <c r="K20" s="17"/>
      <c r="L20" s="16"/>
      <c r="M20" s="17"/>
    </row>
    <row r="21" spans="1:13" x14ac:dyDescent="0.25">
      <c r="D21" s="4"/>
      <c r="F21" s="4"/>
      <c r="H21" s="4"/>
      <c r="J21" s="4"/>
      <c r="L21" s="4"/>
    </row>
    <row r="22" spans="1:13" x14ac:dyDescent="0.25">
      <c r="D22" s="4"/>
      <c r="F22" s="4"/>
      <c r="H22" s="4"/>
      <c r="J22" s="4"/>
      <c r="L22" s="4"/>
    </row>
    <row r="23" spans="1:13" x14ac:dyDescent="0.25">
      <c r="A23" s="76" t="s">
        <v>65</v>
      </c>
      <c r="B23" s="76"/>
      <c r="C23" s="76"/>
      <c r="D23" s="16">
        <f>SUM(D3:D17)</f>
        <v>180260284</v>
      </c>
      <c r="E23" s="29"/>
      <c r="F23" s="16">
        <f>SUM(F4,F6:F9,F11:F13,F17)</f>
        <v>126362766</v>
      </c>
      <c r="G23" s="17"/>
      <c r="H23" s="16">
        <f>SUM(H4,H6:H8,H12)</f>
        <v>100066800</v>
      </c>
      <c r="I23" s="17"/>
      <c r="J23" s="16">
        <f>SUM(J4,J12)</f>
        <v>55000000</v>
      </c>
      <c r="K23" s="17"/>
      <c r="L23" s="16">
        <f>SUM(L4,L12)</f>
        <v>55000000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180260284</v>
      </c>
      <c r="E24" s="17"/>
      <c r="F24" s="16">
        <f>F23+E31*6</f>
        <v>134770392</v>
      </c>
      <c r="G24" s="17"/>
      <c r="H24" s="16">
        <f>H23+E32*10</f>
        <v>115480781</v>
      </c>
      <c r="I24" s="17"/>
      <c r="J24" s="16">
        <f>J23+E33*13</f>
        <v>77041992.829999998</v>
      </c>
      <c r="K24" s="16"/>
      <c r="L24" s="16">
        <f>L23+E34*13</f>
        <v>79246192.113000005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180260284</v>
      </c>
      <c r="E25" s="17"/>
      <c r="F25" s="16">
        <f>F23+F5+F16</f>
        <v>153068971</v>
      </c>
      <c r="G25" s="17"/>
      <c r="H25" s="16">
        <f>H23+H9+H11+H13+H17</f>
        <v>131159877</v>
      </c>
      <c r="I25" s="17"/>
      <c r="J25" s="16">
        <f>J23+J6+J8+J13</f>
        <v>89987704</v>
      </c>
      <c r="K25" s="17"/>
      <c r="L25" s="16">
        <f>L23</f>
        <v>55000000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</row>
    <row r="28" spans="1:13" x14ac:dyDescent="0.25">
      <c r="A28" s="71" t="s">
        <v>70</v>
      </c>
      <c r="B28" s="72"/>
      <c r="C28" s="73"/>
      <c r="D28" s="16">
        <f>D26-D24</f>
        <v>-25613284</v>
      </c>
      <c r="E28" s="16"/>
      <c r="F28" s="16">
        <f>F26-F24</f>
        <v>30229608</v>
      </c>
      <c r="G28" s="16"/>
      <c r="H28" s="16">
        <f>H26-H24</f>
        <v>57769219</v>
      </c>
      <c r="I28" s="16"/>
      <c r="J28" s="16">
        <f>J26-J24</f>
        <v>104871007.17</v>
      </c>
      <c r="K28" s="16"/>
      <c r="L28" s="16">
        <f>L26-L24</f>
        <v>111762807.88699999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7634716</v>
      </c>
      <c r="E29" s="16"/>
      <c r="F29" s="16">
        <f>F27-F24</f>
        <v>65229608</v>
      </c>
      <c r="G29" s="16"/>
      <c r="H29" s="16">
        <f>H27-H24</f>
        <v>95018219</v>
      </c>
      <c r="I29" s="16"/>
      <c r="J29" s="16">
        <f>J27-J24</f>
        <v>143982007.17000002</v>
      </c>
      <c r="K29" s="16"/>
      <c r="L29" s="16">
        <f>L27-L24</f>
        <v>152829807.88699999</v>
      </c>
      <c r="M29" s="3" t="s">
        <v>483</v>
      </c>
    </row>
    <row r="31" spans="1:13" x14ac:dyDescent="0.25">
      <c r="A31" s="75" t="s">
        <v>404</v>
      </c>
      <c r="B31" s="75"/>
      <c r="C31" s="75"/>
      <c r="D31" s="75"/>
      <c r="E31" s="16">
        <v>1401271</v>
      </c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</row>
    <row r="33" spans="1:5" x14ac:dyDescent="0.25">
      <c r="A33" s="75" t="s">
        <v>406</v>
      </c>
      <c r="B33" s="75"/>
      <c r="C33" s="75"/>
      <c r="D33" s="75"/>
      <c r="E33" s="16">
        <f>E32*1.1</f>
        <v>1695537.9100000001</v>
      </c>
    </row>
    <row r="34" spans="1:5" x14ac:dyDescent="0.25">
      <c r="A34" s="75" t="s">
        <v>407</v>
      </c>
      <c r="B34" s="75"/>
      <c r="C34" s="75"/>
      <c r="D34" s="75"/>
      <c r="E34" s="16">
        <f>E33*1.1</f>
        <v>1865091.7010000004</v>
      </c>
    </row>
  </sheetData>
  <mergeCells count="12">
    <mergeCell ref="A1:M1"/>
    <mergeCell ref="A23:C23"/>
    <mergeCell ref="A33:D33"/>
    <mergeCell ref="A34:D34"/>
    <mergeCell ref="A31:D31"/>
    <mergeCell ref="A32:D32"/>
    <mergeCell ref="A25:C25"/>
    <mergeCell ref="A27:C27"/>
    <mergeCell ref="A29:C29"/>
    <mergeCell ref="A24:C24"/>
    <mergeCell ref="A26:C26"/>
    <mergeCell ref="A28:C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6661-C91A-EA41-ACD6-B41D50DB1C8A}">
  <dimension ref="A1:T31"/>
  <sheetViews>
    <sheetView workbookViewId="0">
      <pane ySplit="2" topLeftCell="A3" activePane="bottomLeft" state="frozen"/>
      <selection pane="bottomLeft" activeCell="E29" sqref="E29"/>
    </sheetView>
  </sheetViews>
  <sheetFormatPr defaultRowHeight="15" x14ac:dyDescent="0.25"/>
  <cols>
    <col min="1" max="1" width="24.28515625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4.5703125" bestFit="1" customWidth="1"/>
    <col min="12" max="12" width="13.7109375" bestFit="1" customWidth="1"/>
    <col min="15" max="15" width="13.28515625" bestFit="1" customWidth="1"/>
    <col min="16" max="16" width="15.85546875" bestFit="1" customWidth="1"/>
    <col min="17" max="17" width="13.5703125" bestFit="1" customWidth="1"/>
    <col min="18" max="18" width="12.5703125" bestFit="1" customWidth="1"/>
    <col min="19" max="19" width="13.140625" bestFit="1" customWidth="1"/>
    <col min="20" max="20" width="14.28515625" bestFit="1" customWidth="1"/>
  </cols>
  <sheetData>
    <row r="1" spans="1:20" ht="15.75" thickBot="1" x14ac:dyDescent="0.3">
      <c r="A1" s="80" t="s">
        <v>412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</row>
    <row r="2" spans="1:20" s="2" customFormat="1" ht="15.75" thickBot="1" x14ac:dyDescent="0.3">
      <c r="A2" s="49" t="s">
        <v>1</v>
      </c>
      <c r="B2" s="50" t="s">
        <v>2</v>
      </c>
      <c r="C2" s="50" t="s">
        <v>3</v>
      </c>
      <c r="D2" s="51" t="s">
        <v>4</v>
      </c>
      <c r="E2" s="51" t="s">
        <v>396</v>
      </c>
      <c r="F2" s="51" t="s">
        <v>5</v>
      </c>
      <c r="G2" s="51" t="s">
        <v>397</v>
      </c>
      <c r="H2" s="51" t="s">
        <v>6</v>
      </c>
      <c r="I2" s="51" t="s">
        <v>398</v>
      </c>
      <c r="J2" s="51" t="s">
        <v>7</v>
      </c>
      <c r="K2" s="51" t="s">
        <v>399</v>
      </c>
      <c r="L2" s="51" t="s">
        <v>8</v>
      </c>
      <c r="M2" s="52" t="s">
        <v>400</v>
      </c>
    </row>
    <row r="3" spans="1:20" x14ac:dyDescent="0.25">
      <c r="A3" s="53" t="s">
        <v>44</v>
      </c>
      <c r="B3" s="44" t="s">
        <v>10</v>
      </c>
      <c r="C3" s="44">
        <v>27</v>
      </c>
      <c r="D3" s="45">
        <v>54126450</v>
      </c>
      <c r="E3" s="46">
        <v>0.35</v>
      </c>
      <c r="F3" s="45">
        <v>58456566</v>
      </c>
      <c r="G3" s="46">
        <v>0.35199999999999998</v>
      </c>
      <c r="H3" s="45">
        <v>62786682</v>
      </c>
      <c r="I3" s="46">
        <v>0.36</v>
      </c>
      <c r="J3" s="45">
        <v>67116798</v>
      </c>
      <c r="K3" s="46">
        <v>0.36699999999999999</v>
      </c>
      <c r="L3" s="47">
        <v>71446914</v>
      </c>
      <c r="M3" s="48">
        <v>0.372</v>
      </c>
      <c r="O3" s="31" t="s">
        <v>484</v>
      </c>
    </row>
    <row r="4" spans="1:20" x14ac:dyDescent="0.25">
      <c r="A4" s="9" t="s">
        <v>45</v>
      </c>
      <c r="B4" s="18" t="s">
        <v>14</v>
      </c>
      <c r="C4" s="18">
        <v>29</v>
      </c>
      <c r="D4" s="7">
        <v>53142264</v>
      </c>
      <c r="E4" s="38">
        <v>0.34399999999999997</v>
      </c>
      <c r="F4" s="7">
        <v>57078728</v>
      </c>
      <c r="G4" s="38">
        <v>0.34399999999999997</v>
      </c>
      <c r="H4" s="7">
        <v>61015192</v>
      </c>
      <c r="I4" s="38">
        <v>0.35</v>
      </c>
      <c r="J4" s="7">
        <v>64951656</v>
      </c>
      <c r="K4" s="38">
        <v>0.35499999999999998</v>
      </c>
      <c r="L4" s="10" t="s">
        <v>46</v>
      </c>
      <c r="M4" s="40">
        <v>0.41199999999999998</v>
      </c>
      <c r="O4" s="32" t="s">
        <v>485</v>
      </c>
    </row>
    <row r="5" spans="1:20" x14ac:dyDescent="0.25">
      <c r="A5" s="9" t="s">
        <v>47</v>
      </c>
      <c r="B5" s="18" t="s">
        <v>11</v>
      </c>
      <c r="C5" s="18">
        <v>31</v>
      </c>
      <c r="D5" s="7">
        <v>28100000</v>
      </c>
      <c r="E5" s="38">
        <v>0.182</v>
      </c>
      <c r="F5" s="7">
        <v>30348000</v>
      </c>
      <c r="G5" s="38">
        <v>0.183</v>
      </c>
      <c r="H5" s="7">
        <v>32596000</v>
      </c>
      <c r="I5" s="38">
        <v>0.187</v>
      </c>
      <c r="J5" s="14">
        <v>34844000</v>
      </c>
      <c r="K5" s="39">
        <v>0.19</v>
      </c>
      <c r="L5" s="10" t="s">
        <v>48</v>
      </c>
      <c r="M5" s="40">
        <v>0.27200000000000002</v>
      </c>
      <c r="O5" s="33" t="s">
        <v>486</v>
      </c>
    </row>
    <row r="6" spans="1:20" x14ac:dyDescent="0.25">
      <c r="A6" s="9" t="s">
        <v>128</v>
      </c>
      <c r="B6" s="18" t="s">
        <v>18</v>
      </c>
      <c r="C6" s="18">
        <v>35</v>
      </c>
      <c r="D6" s="7">
        <v>21481481</v>
      </c>
      <c r="E6" s="38">
        <v>0.13900000000000001</v>
      </c>
      <c r="F6" s="10" t="s">
        <v>129</v>
      </c>
      <c r="G6" s="40">
        <v>0.18099999999999999</v>
      </c>
      <c r="H6" s="6"/>
      <c r="I6" s="6"/>
      <c r="J6" s="6"/>
      <c r="K6" s="6"/>
      <c r="L6" s="6"/>
      <c r="M6" s="6"/>
      <c r="O6" s="34" t="s">
        <v>487</v>
      </c>
    </row>
    <row r="7" spans="1:20" x14ac:dyDescent="0.25">
      <c r="A7" s="9" t="s">
        <v>50</v>
      </c>
      <c r="B7" s="18" t="s">
        <v>14</v>
      </c>
      <c r="C7" s="18">
        <v>28</v>
      </c>
      <c r="D7" s="7">
        <v>10044644</v>
      </c>
      <c r="E7" s="38">
        <v>6.5000000000000002E-2</v>
      </c>
      <c r="F7" s="7">
        <v>10848215</v>
      </c>
      <c r="G7" s="38">
        <v>6.5000000000000002E-2</v>
      </c>
      <c r="H7" s="7">
        <v>11651785</v>
      </c>
      <c r="I7" s="38">
        <v>6.7000000000000004E-2</v>
      </c>
      <c r="J7" s="7">
        <v>12455356</v>
      </c>
      <c r="K7" s="38">
        <v>6.8000000000000005E-2</v>
      </c>
      <c r="L7" s="10" t="s">
        <v>51</v>
      </c>
      <c r="M7" s="40">
        <v>0.115</v>
      </c>
    </row>
    <row r="8" spans="1:20" x14ac:dyDescent="0.25">
      <c r="A8" s="9" t="s">
        <v>52</v>
      </c>
      <c r="B8" s="18" t="s">
        <v>25</v>
      </c>
      <c r="C8" s="18">
        <v>28</v>
      </c>
      <c r="D8" s="7">
        <v>7232143</v>
      </c>
      <c r="E8" s="38">
        <v>4.7E-2</v>
      </c>
      <c r="F8" s="7">
        <v>7767857</v>
      </c>
      <c r="G8" s="38">
        <v>4.7E-2</v>
      </c>
      <c r="H8" s="7">
        <v>8303571</v>
      </c>
      <c r="I8" s="38">
        <v>4.8000000000000001E-2</v>
      </c>
      <c r="J8" s="10" t="s">
        <v>53</v>
      </c>
      <c r="K8" s="40">
        <v>8.5999999999999993E-2</v>
      </c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39</v>
      </c>
      <c r="B9" s="18" t="s">
        <v>14</v>
      </c>
      <c r="C9" s="18">
        <v>19</v>
      </c>
      <c r="D9" s="7">
        <v>2783880</v>
      </c>
      <c r="E9" s="38">
        <v>1.7999999999999999E-2</v>
      </c>
      <c r="F9" s="7">
        <v>2923560</v>
      </c>
      <c r="G9" s="38">
        <v>1.7999999999999999E-2</v>
      </c>
      <c r="H9" s="13">
        <v>3062640</v>
      </c>
      <c r="I9" s="41">
        <v>1.7999999999999999E-2</v>
      </c>
      <c r="J9" s="13">
        <v>5528065</v>
      </c>
      <c r="K9" s="41">
        <v>0.03</v>
      </c>
      <c r="L9" s="12" t="s">
        <v>54</v>
      </c>
      <c r="M9" s="42">
        <v>8.5999999999999993E-2</v>
      </c>
      <c r="O9" t="s">
        <v>488</v>
      </c>
      <c r="P9" s="9" t="s">
        <v>52</v>
      </c>
      <c r="Q9" s="9" t="s">
        <v>47</v>
      </c>
      <c r="R9" s="9" t="s">
        <v>45</v>
      </c>
      <c r="S9" s="9" t="s">
        <v>44</v>
      </c>
      <c r="T9" s="9" t="s">
        <v>128</v>
      </c>
    </row>
    <row r="10" spans="1:20" x14ac:dyDescent="0.25">
      <c r="A10" s="9" t="s">
        <v>55</v>
      </c>
      <c r="B10" s="18" t="s">
        <v>11</v>
      </c>
      <c r="C10" s="18">
        <v>25</v>
      </c>
      <c r="D10" s="7">
        <v>2619000</v>
      </c>
      <c r="E10" s="38">
        <v>1.7000000000000001E-2</v>
      </c>
      <c r="F10" s="7">
        <v>2744040</v>
      </c>
      <c r="G10" s="38">
        <v>1.7000000000000001E-2</v>
      </c>
      <c r="H10" s="13">
        <v>4952993</v>
      </c>
      <c r="I10" s="41">
        <v>2.8000000000000001E-2</v>
      </c>
      <c r="J10" s="12" t="s">
        <v>56</v>
      </c>
      <c r="K10" s="42">
        <v>8.1000000000000003E-2</v>
      </c>
      <c r="L10" s="6"/>
      <c r="M10" s="6"/>
      <c r="O10" t="s">
        <v>489</v>
      </c>
      <c r="P10" s="9" t="s">
        <v>410</v>
      </c>
      <c r="Q10" s="9" t="s">
        <v>55</v>
      </c>
      <c r="R10" s="9" t="s">
        <v>39</v>
      </c>
      <c r="S10" s="9" t="s">
        <v>40</v>
      </c>
      <c r="T10" s="9" t="s">
        <v>60</v>
      </c>
    </row>
    <row r="11" spans="1:20" x14ac:dyDescent="0.25">
      <c r="A11" s="9" t="s">
        <v>40</v>
      </c>
      <c r="B11" s="18" t="s">
        <v>18</v>
      </c>
      <c r="C11" s="18">
        <v>27</v>
      </c>
      <c r="D11" s="7">
        <v>2461463</v>
      </c>
      <c r="E11" s="38">
        <v>1.6E-2</v>
      </c>
      <c r="F11" s="43">
        <v>2801346</v>
      </c>
      <c r="G11" s="38">
        <v>1.7000000000000001E-2</v>
      </c>
      <c r="H11" s="10" t="s">
        <v>58</v>
      </c>
      <c r="I11" s="40">
        <v>1.4999999999999999E-2</v>
      </c>
      <c r="J11" s="6"/>
      <c r="K11" s="6"/>
      <c r="L11" s="6"/>
      <c r="M11" s="6"/>
      <c r="O11" t="s">
        <v>490</v>
      </c>
      <c r="P11" s="9" t="s">
        <v>42</v>
      </c>
      <c r="Q11" s="9" t="s">
        <v>411</v>
      </c>
      <c r="R11" s="54" t="s">
        <v>50</v>
      </c>
      <c r="S11" s="9" t="s">
        <v>62</v>
      </c>
      <c r="T11" s="9" t="s">
        <v>41</v>
      </c>
    </row>
    <row r="12" spans="1:20" x14ac:dyDescent="0.25">
      <c r="A12" s="9" t="s">
        <v>60</v>
      </c>
      <c r="B12" s="18" t="s">
        <v>18</v>
      </c>
      <c r="C12" s="18">
        <v>26</v>
      </c>
      <c r="D12" s="7">
        <v>2349578</v>
      </c>
      <c r="E12" s="38">
        <v>1.4999999999999999E-2</v>
      </c>
      <c r="F12" s="7">
        <v>2667944</v>
      </c>
      <c r="G12" s="38">
        <v>1.6E-2</v>
      </c>
      <c r="H12" s="10" t="s">
        <v>61</v>
      </c>
      <c r="I12" s="40">
        <v>1.6E-2</v>
      </c>
      <c r="J12" s="6"/>
      <c r="K12" s="6"/>
      <c r="L12" s="6"/>
      <c r="M12" s="6"/>
      <c r="R12" s="9" t="s">
        <v>43</v>
      </c>
    </row>
    <row r="13" spans="1:20" x14ac:dyDescent="0.25">
      <c r="A13" s="9" t="s">
        <v>62</v>
      </c>
      <c r="B13" s="18" t="s">
        <v>14</v>
      </c>
      <c r="C13" s="18">
        <v>21</v>
      </c>
      <c r="D13" s="7">
        <v>2221677</v>
      </c>
      <c r="E13" s="38">
        <v>1.4E-2</v>
      </c>
      <c r="F13" s="13">
        <v>2406205</v>
      </c>
      <c r="G13" s="41">
        <v>1.4E-2</v>
      </c>
      <c r="H13" s="10" t="s">
        <v>32</v>
      </c>
      <c r="I13" s="40">
        <v>1.7000000000000001E-2</v>
      </c>
      <c r="J13" s="6"/>
      <c r="K13" s="6"/>
      <c r="L13" s="6"/>
      <c r="M13" s="6"/>
    </row>
    <row r="14" spans="1:20" x14ac:dyDescent="0.25">
      <c r="A14" s="9" t="s">
        <v>41</v>
      </c>
      <c r="B14" s="18" t="s">
        <v>18</v>
      </c>
      <c r="C14" s="18">
        <v>24</v>
      </c>
      <c r="D14" s="7">
        <v>490128</v>
      </c>
      <c r="E14" s="38">
        <v>3.0000000000000001E-3</v>
      </c>
      <c r="F14" s="13">
        <v>2150917</v>
      </c>
      <c r="G14" s="41">
        <v>1.2999999999999999E-2</v>
      </c>
      <c r="H14" s="12" t="s">
        <v>409</v>
      </c>
      <c r="I14" s="42">
        <v>1.6E-2</v>
      </c>
      <c r="J14" s="6"/>
      <c r="K14" s="6"/>
      <c r="L14" s="6"/>
      <c r="M14" s="6"/>
    </row>
    <row r="15" spans="1:20" x14ac:dyDescent="0.25">
      <c r="A15" s="9" t="s">
        <v>410</v>
      </c>
      <c r="B15" s="18" t="s">
        <v>25</v>
      </c>
      <c r="C15" s="18">
        <v>26</v>
      </c>
      <c r="D15" s="7">
        <v>131970</v>
      </c>
      <c r="E15" s="38">
        <v>1E-3</v>
      </c>
      <c r="F15" s="6"/>
      <c r="G15" s="38"/>
      <c r="H15" s="6"/>
      <c r="I15" s="6"/>
      <c r="J15" s="6"/>
      <c r="K15" s="6"/>
      <c r="L15" s="6"/>
      <c r="M15" s="6"/>
    </row>
    <row r="16" spans="1:20" x14ac:dyDescent="0.25">
      <c r="A16" s="9" t="s">
        <v>411</v>
      </c>
      <c r="B16" s="18" t="s">
        <v>29</v>
      </c>
      <c r="C16" s="18">
        <v>24</v>
      </c>
      <c r="D16" s="7">
        <v>73153</v>
      </c>
      <c r="E16" s="38">
        <v>0</v>
      </c>
      <c r="F16" s="7"/>
      <c r="G16" s="38"/>
      <c r="H16" s="6"/>
      <c r="I16" s="38"/>
      <c r="J16" s="6"/>
      <c r="K16" s="6"/>
      <c r="L16" s="6"/>
      <c r="M16" s="6"/>
    </row>
    <row r="17" spans="1:15" x14ac:dyDescent="0.25">
      <c r="A17" s="9" t="s">
        <v>42</v>
      </c>
      <c r="B17" s="18" t="s">
        <v>29</v>
      </c>
      <c r="C17" s="18">
        <v>23</v>
      </c>
      <c r="D17" s="6" t="s">
        <v>63</v>
      </c>
      <c r="E17" s="6"/>
      <c r="F17" s="12" t="s">
        <v>64</v>
      </c>
      <c r="G17" s="42">
        <v>1.2999999999999999E-2</v>
      </c>
      <c r="H17" s="6"/>
      <c r="I17" s="6"/>
      <c r="J17" s="6"/>
      <c r="K17" s="6"/>
      <c r="L17" s="6"/>
      <c r="M17" s="6"/>
      <c r="O17" s="9"/>
    </row>
    <row r="18" spans="1:15" x14ac:dyDescent="0.25">
      <c r="A18" s="9" t="s">
        <v>43</v>
      </c>
      <c r="B18" s="18" t="s">
        <v>11</v>
      </c>
      <c r="C18" s="18">
        <v>25</v>
      </c>
      <c r="D18" s="6" t="s">
        <v>63</v>
      </c>
      <c r="E18" s="6"/>
      <c r="F18" s="1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5" x14ac:dyDescent="0.25">
      <c r="G19" s="1"/>
    </row>
    <row r="20" spans="1:15" x14ac:dyDescent="0.25">
      <c r="A20" s="74" t="s">
        <v>65</v>
      </c>
      <c r="B20" s="74"/>
      <c r="C20" s="74"/>
      <c r="D20" s="16">
        <f>SUM(D3:D16)</f>
        <v>187257831</v>
      </c>
      <c r="E20" s="29"/>
      <c r="F20" s="16">
        <f>SUM(F2,F3:F5,F7:F12,F15)</f>
        <v>175636256</v>
      </c>
      <c r="G20" s="17"/>
      <c r="H20" s="16">
        <f>SUM(H3:H8)</f>
        <v>176353230</v>
      </c>
      <c r="I20" s="17"/>
      <c r="J20" s="16">
        <f>SUM(J3:J4,J7)</f>
        <v>144523810</v>
      </c>
      <c r="K20" s="17"/>
      <c r="L20" s="16">
        <v>0</v>
      </c>
      <c r="M20" s="3" t="s">
        <v>479</v>
      </c>
    </row>
    <row r="21" spans="1:15" x14ac:dyDescent="0.25">
      <c r="A21" s="74" t="s">
        <v>66</v>
      </c>
      <c r="B21" s="74"/>
      <c r="C21" s="74"/>
      <c r="D21" s="16">
        <f>D20</f>
        <v>187257831</v>
      </c>
      <c r="E21" s="17"/>
      <c r="F21" s="16">
        <f>F20+E28*6</f>
        <v>184043882</v>
      </c>
      <c r="G21" s="17"/>
      <c r="H21" s="16">
        <f>H20+E29*10</f>
        <v>191767211</v>
      </c>
      <c r="I21" s="17"/>
      <c r="J21" s="16">
        <f>J20+E30*13</f>
        <v>166565802.83000001</v>
      </c>
      <c r="K21" s="16"/>
      <c r="L21" s="16">
        <f>L20+E31*15</f>
        <v>27976375.515000004</v>
      </c>
      <c r="M21" s="3" t="s">
        <v>480</v>
      </c>
    </row>
    <row r="22" spans="1:15" x14ac:dyDescent="0.25">
      <c r="A22" s="74" t="s">
        <v>67</v>
      </c>
      <c r="B22" s="74"/>
      <c r="C22" s="74"/>
      <c r="D22" s="16">
        <f>D21</f>
        <v>187257831</v>
      </c>
      <c r="E22" s="17"/>
      <c r="F22" s="16">
        <f>F20+F13+F14</f>
        <v>180193378</v>
      </c>
      <c r="G22" s="17"/>
      <c r="H22" s="16">
        <f>H20+H10+H9+H15+H15</f>
        <v>184368863</v>
      </c>
      <c r="I22" s="17"/>
      <c r="J22" s="16">
        <f>J20+J5+J9</f>
        <v>184895875</v>
      </c>
      <c r="K22" s="17"/>
      <c r="L22" s="16">
        <f>L20+L3</f>
        <v>71446914</v>
      </c>
      <c r="M22" s="3" t="s">
        <v>481</v>
      </c>
    </row>
    <row r="23" spans="1:15" x14ac:dyDescent="0.25">
      <c r="A23" s="74" t="s">
        <v>68</v>
      </c>
      <c r="B23" s="74"/>
      <c r="C23" s="74"/>
      <c r="D23" s="16">
        <v>154647000</v>
      </c>
      <c r="E23" s="17"/>
      <c r="F23" s="16">
        <v>165000000</v>
      </c>
      <c r="G23" s="17"/>
      <c r="H23" s="16">
        <v>173250000</v>
      </c>
      <c r="I23" s="17"/>
      <c r="J23" s="16">
        <v>181913000</v>
      </c>
      <c r="K23" s="17"/>
      <c r="L23" s="16">
        <v>191009000</v>
      </c>
      <c r="M23" s="3"/>
    </row>
    <row r="24" spans="1:15" x14ac:dyDescent="0.25">
      <c r="A24" s="74" t="s">
        <v>69</v>
      </c>
      <c r="B24" s="74"/>
      <c r="C24" s="74"/>
      <c r="D24" s="16">
        <v>187895000</v>
      </c>
      <c r="E24" s="17"/>
      <c r="F24" s="29">
        <v>200000000</v>
      </c>
      <c r="G24" s="17"/>
      <c r="H24" s="16">
        <v>210499000</v>
      </c>
      <c r="I24" s="17"/>
      <c r="J24" s="16">
        <v>221024000</v>
      </c>
      <c r="K24" s="17"/>
      <c r="L24" s="16">
        <v>232076000</v>
      </c>
      <c r="M24" s="3"/>
    </row>
    <row r="25" spans="1:15" x14ac:dyDescent="0.25">
      <c r="A25" s="74" t="s">
        <v>70</v>
      </c>
      <c r="B25" s="74"/>
      <c r="C25" s="74"/>
      <c r="D25" s="16">
        <f>D23-D21</f>
        <v>-32610831</v>
      </c>
      <c r="E25" s="16"/>
      <c r="F25" s="16">
        <f>F23-F21</f>
        <v>-19043882</v>
      </c>
      <c r="G25" s="16"/>
      <c r="H25" s="16">
        <f>H23-H21</f>
        <v>-18517211</v>
      </c>
      <c r="I25" s="16"/>
      <c r="J25" s="16">
        <f>J23-J21</f>
        <v>15347197.169999987</v>
      </c>
      <c r="K25" s="16"/>
      <c r="L25" s="16">
        <f>L23-L21</f>
        <v>163032624.48499998</v>
      </c>
      <c r="M25" s="3" t="s">
        <v>482</v>
      </c>
    </row>
    <row r="26" spans="1:15" x14ac:dyDescent="0.25">
      <c r="A26" s="74" t="s">
        <v>71</v>
      </c>
      <c r="B26" s="74"/>
      <c r="C26" s="74"/>
      <c r="D26" s="16">
        <f>D24-D21</f>
        <v>637169</v>
      </c>
      <c r="E26" s="16"/>
      <c r="F26" s="16">
        <f>F24-F21</f>
        <v>15956118</v>
      </c>
      <c r="G26" s="16"/>
      <c r="H26" s="16">
        <f>H24-H21</f>
        <v>18731789</v>
      </c>
      <c r="I26" s="16"/>
      <c r="J26" s="16">
        <f>J24-J21</f>
        <v>54458197.169999987</v>
      </c>
      <c r="K26" s="16"/>
      <c r="L26" s="16">
        <f>L24-L21</f>
        <v>204099624.48499998</v>
      </c>
      <c r="M26" s="3" t="s">
        <v>483</v>
      </c>
    </row>
    <row r="28" spans="1:15" x14ac:dyDescent="0.25">
      <c r="A28" s="75" t="s">
        <v>404</v>
      </c>
      <c r="B28" s="75"/>
      <c r="C28" s="75"/>
      <c r="D28" s="75"/>
      <c r="E28" s="16">
        <v>1401271</v>
      </c>
    </row>
    <row r="29" spans="1:15" x14ac:dyDescent="0.25">
      <c r="A29" s="75" t="s">
        <v>405</v>
      </c>
      <c r="B29" s="75"/>
      <c r="C29" s="75"/>
      <c r="D29" s="75"/>
      <c r="E29" s="16">
        <f>E28*1.1</f>
        <v>1541398.1</v>
      </c>
    </row>
    <row r="30" spans="1:15" x14ac:dyDescent="0.25">
      <c r="A30" s="75" t="s">
        <v>406</v>
      </c>
      <c r="B30" s="75"/>
      <c r="C30" s="75"/>
      <c r="D30" s="75"/>
      <c r="E30" s="16">
        <f>E29*1.1</f>
        <v>1695537.9100000001</v>
      </c>
    </row>
    <row r="31" spans="1:15" x14ac:dyDescent="0.25">
      <c r="A31" s="75" t="s">
        <v>407</v>
      </c>
      <c r="B31" s="75"/>
      <c r="C31" s="75"/>
      <c r="D31" s="75"/>
      <c r="E31" s="16">
        <f>E30*1.1</f>
        <v>1865091.7010000004</v>
      </c>
    </row>
  </sheetData>
  <mergeCells count="12">
    <mergeCell ref="A31:D31"/>
    <mergeCell ref="A1:M1"/>
    <mergeCell ref="A28:D28"/>
    <mergeCell ref="A29:D29"/>
    <mergeCell ref="A30:D30"/>
    <mergeCell ref="A20:C20"/>
    <mergeCell ref="A26:C26"/>
    <mergeCell ref="A21:C21"/>
    <mergeCell ref="A22:C22"/>
    <mergeCell ref="A23:C23"/>
    <mergeCell ref="A24:C24"/>
    <mergeCell ref="A25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2217-68F6-4A41-94C3-E17A710847BB}">
  <sheetPr>
    <pageSetUpPr fitToPage="1"/>
  </sheetPr>
  <dimension ref="A1:T34"/>
  <sheetViews>
    <sheetView workbookViewId="0">
      <pane ySplit="2" topLeftCell="A3" activePane="bottomLeft" state="frozen"/>
      <selection pane="bottomLeft" activeCell="L29" sqref="L29"/>
    </sheetView>
  </sheetViews>
  <sheetFormatPr defaultRowHeight="15" x14ac:dyDescent="0.25"/>
  <cols>
    <col min="1" max="1" width="24.570312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style="5" bestFit="1" customWidth="1"/>
    <col min="6" max="6" width="14.5703125" bestFit="1" customWidth="1"/>
    <col min="7" max="7" width="9.7109375" style="5" bestFit="1" customWidth="1"/>
    <col min="8" max="8" width="13.7109375" bestFit="1" customWidth="1"/>
    <col min="9" max="9" width="9.7109375" style="5" bestFit="1" customWidth="1"/>
    <col min="10" max="10" width="13.7109375" bestFit="1" customWidth="1"/>
    <col min="11" max="11" width="9.140625" style="5"/>
    <col min="12" max="12" width="13.7109375" bestFit="1" customWidth="1"/>
    <col min="13" max="13" width="9.7109375" style="5" bestFit="1" customWidth="1"/>
    <col min="15" max="15" width="13.28515625" bestFit="1" customWidth="1"/>
    <col min="16" max="16" width="12" bestFit="1" customWidth="1"/>
    <col min="17" max="17" width="13.140625" bestFit="1" customWidth="1"/>
    <col min="18" max="18" width="13.5703125" bestFit="1" customWidth="1"/>
    <col min="19" max="19" width="16.28515625" bestFit="1" customWidth="1"/>
    <col min="20" max="20" width="13.7109375" bestFit="1" customWidth="1"/>
    <col min="21" max="21" width="15" bestFit="1" customWidth="1"/>
  </cols>
  <sheetData>
    <row r="1" spans="1:20" x14ac:dyDescent="0.25">
      <c r="A1" s="83" t="s">
        <v>491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66" t="s">
        <v>1</v>
      </c>
      <c r="B2" s="66" t="s">
        <v>2</v>
      </c>
      <c r="C2" s="66" t="s">
        <v>3</v>
      </c>
      <c r="D2" s="66" t="s">
        <v>4</v>
      </c>
      <c r="E2" s="66" t="s">
        <v>396</v>
      </c>
      <c r="F2" s="66" t="s">
        <v>5</v>
      </c>
      <c r="G2" s="66" t="s">
        <v>397</v>
      </c>
      <c r="H2" s="66" t="s">
        <v>6</v>
      </c>
      <c r="I2" s="66" t="s">
        <v>398</v>
      </c>
      <c r="J2" s="66" t="s">
        <v>7</v>
      </c>
      <c r="K2" s="66" t="s">
        <v>399</v>
      </c>
      <c r="L2" s="66" t="s">
        <v>8</v>
      </c>
      <c r="M2" s="66" t="s">
        <v>400</v>
      </c>
    </row>
    <row r="3" spans="1:20" x14ac:dyDescent="0.25">
      <c r="A3" s="66" t="s">
        <v>72</v>
      </c>
      <c r="B3" s="55" t="s">
        <v>14</v>
      </c>
      <c r="C3" s="55">
        <v>27</v>
      </c>
      <c r="D3" s="56">
        <v>38333050</v>
      </c>
      <c r="E3" s="57">
        <v>0.248</v>
      </c>
      <c r="F3" s="56">
        <v>40806150</v>
      </c>
      <c r="G3" s="57">
        <v>0.246</v>
      </c>
      <c r="H3" s="58" t="s">
        <v>73</v>
      </c>
      <c r="I3" s="59">
        <v>0.245</v>
      </c>
      <c r="J3" s="55"/>
      <c r="K3" s="55"/>
      <c r="L3" s="55"/>
      <c r="M3" s="55"/>
      <c r="O3" s="31" t="s">
        <v>484</v>
      </c>
    </row>
    <row r="4" spans="1:20" x14ac:dyDescent="0.25">
      <c r="A4" s="66" t="s">
        <v>74</v>
      </c>
      <c r="B4" s="55" t="s">
        <v>18</v>
      </c>
      <c r="C4" s="55">
        <v>26</v>
      </c>
      <c r="D4" s="56">
        <v>25352272</v>
      </c>
      <c r="E4" s="57">
        <v>0.16400000000000001</v>
      </c>
      <c r="F4" s="56">
        <v>23147727</v>
      </c>
      <c r="G4" s="57">
        <v>0.13900000000000001</v>
      </c>
      <c r="H4" s="56">
        <v>20943184</v>
      </c>
      <c r="I4" s="57">
        <v>0.12</v>
      </c>
      <c r="J4" s="58" t="s">
        <v>75</v>
      </c>
      <c r="K4" s="59">
        <v>0.17699999999999999</v>
      </c>
      <c r="L4" s="55"/>
      <c r="M4" s="55"/>
      <c r="O4" s="32" t="s">
        <v>485</v>
      </c>
    </row>
    <row r="5" spans="1:20" x14ac:dyDescent="0.25">
      <c r="A5" s="66" t="s">
        <v>76</v>
      </c>
      <c r="B5" s="55" t="s">
        <v>11</v>
      </c>
      <c r="C5" s="55">
        <v>29</v>
      </c>
      <c r="D5" s="56">
        <v>15500000</v>
      </c>
      <c r="E5" s="57">
        <v>0.1</v>
      </c>
      <c r="F5" s="56">
        <v>15500000</v>
      </c>
      <c r="G5" s="57">
        <v>9.2999999999999999E-2</v>
      </c>
      <c r="H5" s="56">
        <v>16000000</v>
      </c>
      <c r="I5" s="57">
        <v>9.1999999999999998E-2</v>
      </c>
      <c r="J5" s="58" t="s">
        <v>77</v>
      </c>
      <c r="K5" s="59">
        <v>0.13100000000000001</v>
      </c>
      <c r="L5" s="55"/>
      <c r="M5" s="55"/>
      <c r="O5" s="33" t="s">
        <v>486</v>
      </c>
    </row>
    <row r="6" spans="1:20" x14ac:dyDescent="0.25">
      <c r="A6" s="66" t="s">
        <v>78</v>
      </c>
      <c r="B6" s="55" t="s">
        <v>25</v>
      </c>
      <c r="C6" s="55">
        <v>19</v>
      </c>
      <c r="D6" s="56">
        <v>6889200</v>
      </c>
      <c r="E6" s="57">
        <v>4.4999999999999998E-2</v>
      </c>
      <c r="F6" s="56">
        <v>7233720</v>
      </c>
      <c r="G6" s="57">
        <v>4.3999999999999997E-2</v>
      </c>
      <c r="H6" s="60">
        <v>7578240</v>
      </c>
      <c r="I6" s="61">
        <v>4.2999999999999997E-2</v>
      </c>
      <c r="J6" s="60">
        <v>9639522</v>
      </c>
      <c r="K6" s="61">
        <v>5.2999999999999999E-2</v>
      </c>
      <c r="L6" s="62" t="s">
        <v>413</v>
      </c>
      <c r="M6" s="63">
        <v>0.15</v>
      </c>
      <c r="O6" s="34" t="s">
        <v>487</v>
      </c>
    </row>
    <row r="7" spans="1:20" x14ac:dyDescent="0.25">
      <c r="A7" s="66" t="s">
        <v>385</v>
      </c>
      <c r="B7" s="55" t="s">
        <v>14</v>
      </c>
      <c r="C7" s="55">
        <v>25</v>
      </c>
      <c r="D7" s="56">
        <v>6383525</v>
      </c>
      <c r="E7" s="57">
        <v>4.1000000000000002E-2</v>
      </c>
      <c r="F7" s="64" t="s">
        <v>414</v>
      </c>
      <c r="G7" s="63">
        <v>0.115</v>
      </c>
      <c r="H7" s="55"/>
      <c r="I7" s="57"/>
      <c r="J7" s="55"/>
      <c r="K7" s="55"/>
      <c r="L7" s="55"/>
      <c r="M7" s="55"/>
    </row>
    <row r="8" spans="1:20" x14ac:dyDescent="0.25">
      <c r="A8" s="66" t="s">
        <v>79</v>
      </c>
      <c r="B8" s="55" t="s">
        <v>14</v>
      </c>
      <c r="C8" s="55">
        <v>24</v>
      </c>
      <c r="D8" s="56">
        <v>6250000</v>
      </c>
      <c r="E8" s="57">
        <v>0.04</v>
      </c>
      <c r="F8" s="60">
        <v>6250000</v>
      </c>
      <c r="G8" s="61">
        <v>3.7999999999999999E-2</v>
      </c>
      <c r="H8" s="58" t="s">
        <v>80</v>
      </c>
      <c r="I8" s="59">
        <v>6.8000000000000005E-2</v>
      </c>
      <c r="J8" s="55"/>
      <c r="K8" s="55"/>
      <c r="L8" s="55"/>
      <c r="M8" s="55"/>
    </row>
    <row r="9" spans="1:20" x14ac:dyDescent="0.25">
      <c r="A9" s="66" t="s">
        <v>415</v>
      </c>
      <c r="B9" s="55" t="s">
        <v>18</v>
      </c>
      <c r="C9" s="55">
        <v>24</v>
      </c>
      <c r="D9" s="56">
        <v>6250000</v>
      </c>
      <c r="E9" s="57">
        <v>0.04</v>
      </c>
      <c r="F9" s="60">
        <v>6250000</v>
      </c>
      <c r="G9" s="61">
        <v>3.7999999999999999E-2</v>
      </c>
      <c r="H9" s="58" t="s">
        <v>81</v>
      </c>
      <c r="I9" s="59">
        <v>6.8000000000000005E-2</v>
      </c>
      <c r="J9" s="55"/>
      <c r="K9" s="55"/>
      <c r="L9" s="55"/>
      <c r="M9" s="55"/>
      <c r="O9" s="2" t="s">
        <v>395</v>
      </c>
      <c r="P9" t="s">
        <v>25</v>
      </c>
      <c r="Q9" t="s">
        <v>11</v>
      </c>
      <c r="R9" t="s">
        <v>14</v>
      </c>
      <c r="S9" t="s">
        <v>10</v>
      </c>
      <c r="T9" t="s">
        <v>18</v>
      </c>
    </row>
    <row r="10" spans="1:20" x14ac:dyDescent="0.25">
      <c r="A10" s="66" t="s">
        <v>83</v>
      </c>
      <c r="B10" s="55" t="s">
        <v>25</v>
      </c>
      <c r="C10" s="55">
        <v>19</v>
      </c>
      <c r="D10" s="56">
        <v>3811560</v>
      </c>
      <c r="E10" s="57">
        <v>2.5000000000000001E-2</v>
      </c>
      <c r="F10" s="56">
        <v>4002000</v>
      </c>
      <c r="G10" s="57">
        <v>2.4E-2</v>
      </c>
      <c r="H10" s="60">
        <v>4193040</v>
      </c>
      <c r="I10" s="61">
        <v>2.4E-2</v>
      </c>
      <c r="J10" s="60">
        <v>6457282</v>
      </c>
      <c r="K10" s="61">
        <v>3.5000000000000003E-2</v>
      </c>
      <c r="L10" s="62" t="s">
        <v>84</v>
      </c>
      <c r="M10" s="63">
        <v>0.10100000000000001</v>
      </c>
      <c r="O10" t="s">
        <v>488</v>
      </c>
      <c r="P10" t="s">
        <v>83</v>
      </c>
      <c r="Q10" t="s">
        <v>78</v>
      </c>
      <c r="R10" t="s">
        <v>72</v>
      </c>
      <c r="S10" t="s">
        <v>85</v>
      </c>
      <c r="T10" t="s">
        <v>74</v>
      </c>
    </row>
    <row r="11" spans="1:20" x14ac:dyDescent="0.25">
      <c r="A11" s="66" t="s">
        <v>85</v>
      </c>
      <c r="B11" s="55" t="s">
        <v>10</v>
      </c>
      <c r="C11" s="55">
        <v>21</v>
      </c>
      <c r="D11" s="56">
        <v>3398640</v>
      </c>
      <c r="E11" s="57">
        <v>2.1999999999999999E-2</v>
      </c>
      <c r="F11" s="56">
        <v>5414034</v>
      </c>
      <c r="G11" s="57">
        <v>3.3000000000000002E-2</v>
      </c>
      <c r="H11" s="64" t="s">
        <v>86</v>
      </c>
      <c r="I11" s="63">
        <v>9.2999999999999999E-2</v>
      </c>
      <c r="J11" s="56"/>
      <c r="K11" s="57"/>
      <c r="L11" s="55"/>
      <c r="M11" s="57"/>
      <c r="O11" t="s">
        <v>489</v>
      </c>
      <c r="P11" t="s">
        <v>88</v>
      </c>
      <c r="Q11" t="s">
        <v>76</v>
      </c>
      <c r="R11" t="s">
        <v>79</v>
      </c>
      <c r="S11" t="s">
        <v>90</v>
      </c>
      <c r="T11" t="s">
        <v>415</v>
      </c>
    </row>
    <row r="12" spans="1:20" x14ac:dyDescent="0.25">
      <c r="A12" s="66" t="s">
        <v>87</v>
      </c>
      <c r="B12" s="55" t="s">
        <v>14</v>
      </c>
      <c r="C12" s="55">
        <v>20</v>
      </c>
      <c r="D12" s="56">
        <v>3372240</v>
      </c>
      <c r="E12" s="57">
        <v>2.1999999999999999E-2</v>
      </c>
      <c r="F12" s="56">
        <v>3540600</v>
      </c>
      <c r="G12" s="57">
        <v>2.1000000000000001E-2</v>
      </c>
      <c r="H12" s="60">
        <v>3709320</v>
      </c>
      <c r="I12" s="61">
        <v>2.1000000000000001E-2</v>
      </c>
      <c r="J12" s="60">
        <v>6101832</v>
      </c>
      <c r="K12" s="61">
        <v>2.3E-2</v>
      </c>
      <c r="L12" s="62" t="s">
        <v>416</v>
      </c>
      <c r="M12" s="63">
        <v>9.5000000000000001E-2</v>
      </c>
      <c r="O12" t="s">
        <v>490</v>
      </c>
      <c r="P12" t="s">
        <v>96</v>
      </c>
      <c r="Q12" t="s">
        <v>87</v>
      </c>
      <c r="R12" t="s">
        <v>385</v>
      </c>
      <c r="S12" t="s">
        <v>59</v>
      </c>
      <c r="T12" s="9"/>
    </row>
    <row r="13" spans="1:20" x14ac:dyDescent="0.25">
      <c r="A13" s="66" t="s">
        <v>88</v>
      </c>
      <c r="B13" s="55" t="s">
        <v>25</v>
      </c>
      <c r="C13" s="55">
        <v>19</v>
      </c>
      <c r="D13" s="56">
        <v>2884560</v>
      </c>
      <c r="E13" s="57">
        <v>1.9E-2</v>
      </c>
      <c r="F13" s="56">
        <v>3028560</v>
      </c>
      <c r="G13" s="57">
        <v>1.7999999999999999E-2</v>
      </c>
      <c r="H13" s="60">
        <v>3172920</v>
      </c>
      <c r="I13" s="61">
        <v>1.7999999999999999E-2</v>
      </c>
      <c r="J13" s="56">
        <v>5720776</v>
      </c>
      <c r="K13" s="57">
        <v>3.1E-2</v>
      </c>
      <c r="L13" s="62" t="s">
        <v>89</v>
      </c>
      <c r="M13" s="63">
        <v>8.8999999999999996E-2</v>
      </c>
      <c r="R13" t="s">
        <v>95</v>
      </c>
      <c r="S13" t="s">
        <v>92</v>
      </c>
    </row>
    <row r="14" spans="1:20" x14ac:dyDescent="0.25">
      <c r="A14" s="66" t="s">
        <v>90</v>
      </c>
      <c r="B14" s="55" t="s">
        <v>10</v>
      </c>
      <c r="C14" s="55">
        <v>21</v>
      </c>
      <c r="D14" s="56">
        <v>2801280</v>
      </c>
      <c r="E14" s="57">
        <v>1.7999999999999999E-2</v>
      </c>
      <c r="F14" s="56">
        <v>2941440</v>
      </c>
      <c r="G14" s="57">
        <v>1.7999999999999999E-2</v>
      </c>
      <c r="H14" s="60">
        <v>3081840</v>
      </c>
      <c r="I14" s="61">
        <v>1.7999999999999999E-2</v>
      </c>
      <c r="J14" s="60">
        <v>5559640</v>
      </c>
      <c r="K14" s="61">
        <v>0.03</v>
      </c>
      <c r="L14" s="62" t="s">
        <v>91</v>
      </c>
      <c r="M14" s="63">
        <v>8.6999999999999994E-2</v>
      </c>
      <c r="S14" t="s">
        <v>94</v>
      </c>
    </row>
    <row r="15" spans="1:20" x14ac:dyDescent="0.25">
      <c r="A15" s="66" t="s">
        <v>59</v>
      </c>
      <c r="B15" s="55" t="s">
        <v>14</v>
      </c>
      <c r="C15" s="55">
        <v>23</v>
      </c>
      <c r="D15" s="56">
        <v>2378870</v>
      </c>
      <c r="E15" s="57">
        <v>1.4999999999999999E-2</v>
      </c>
      <c r="F15" s="60">
        <v>2584539</v>
      </c>
      <c r="G15" s="61">
        <v>1.6E-2</v>
      </c>
      <c r="H15" s="65" t="s">
        <v>58</v>
      </c>
      <c r="I15" s="59">
        <v>1.4999999999999999E-2</v>
      </c>
      <c r="J15" s="56"/>
      <c r="K15" s="57"/>
      <c r="L15" s="55"/>
      <c r="M15" s="57"/>
    </row>
    <row r="16" spans="1:20" x14ac:dyDescent="0.25">
      <c r="A16" s="66" t="s">
        <v>92</v>
      </c>
      <c r="B16" s="55" t="s">
        <v>10</v>
      </c>
      <c r="C16" s="55">
        <v>25</v>
      </c>
      <c r="D16" s="56">
        <v>2221677</v>
      </c>
      <c r="E16" s="57">
        <v>1.4E-2</v>
      </c>
      <c r="F16" s="62" t="s">
        <v>93</v>
      </c>
      <c r="G16" s="63">
        <v>1.7999999999999999E-2</v>
      </c>
      <c r="H16" s="55"/>
      <c r="I16" s="55"/>
      <c r="J16" s="55"/>
      <c r="K16" s="55"/>
      <c r="L16" s="55"/>
      <c r="M16" s="55"/>
    </row>
    <row r="17" spans="1:13" x14ac:dyDescent="0.25">
      <c r="A17" s="66" t="s">
        <v>417</v>
      </c>
      <c r="B17" s="55" t="s">
        <v>82</v>
      </c>
      <c r="C17" s="55">
        <v>23</v>
      </c>
      <c r="D17" s="56">
        <v>73153</v>
      </c>
      <c r="E17" s="57">
        <v>0</v>
      </c>
      <c r="F17" s="55"/>
      <c r="G17" s="57"/>
      <c r="H17" s="55"/>
      <c r="I17" s="55"/>
      <c r="J17" s="55"/>
      <c r="K17" s="55"/>
      <c r="L17" s="55"/>
      <c r="M17" s="55"/>
    </row>
    <row r="18" spans="1:13" x14ac:dyDescent="0.25">
      <c r="A18" s="66" t="s">
        <v>94</v>
      </c>
      <c r="B18" s="55" t="s">
        <v>10</v>
      </c>
      <c r="C18" s="55">
        <v>25</v>
      </c>
      <c r="D18" s="55" t="s">
        <v>63</v>
      </c>
      <c r="E18" s="55"/>
      <c r="F18" s="62" t="s">
        <v>64</v>
      </c>
      <c r="G18" s="63">
        <v>1.2999999999999999E-2</v>
      </c>
      <c r="H18" s="55"/>
      <c r="I18" s="55"/>
      <c r="J18" s="55"/>
      <c r="K18" s="55"/>
      <c r="L18" s="55"/>
      <c r="M18" s="55"/>
    </row>
    <row r="19" spans="1:13" x14ac:dyDescent="0.25">
      <c r="A19" s="66" t="s">
        <v>95</v>
      </c>
      <c r="B19" s="55" t="s">
        <v>82</v>
      </c>
      <c r="C19" s="55">
        <v>23</v>
      </c>
      <c r="D19" s="55" t="s">
        <v>63</v>
      </c>
      <c r="E19" s="55"/>
      <c r="F19" s="62" t="s">
        <v>64</v>
      </c>
      <c r="G19" s="63">
        <v>1.2999999999999999E-2</v>
      </c>
      <c r="H19" s="55"/>
      <c r="I19" s="55"/>
      <c r="J19" s="55"/>
      <c r="K19" s="55"/>
      <c r="L19" s="55"/>
      <c r="M19" s="55"/>
    </row>
    <row r="20" spans="1:13" x14ac:dyDescent="0.25">
      <c r="A20" s="66" t="s">
        <v>96</v>
      </c>
      <c r="B20" s="55" t="s">
        <v>29</v>
      </c>
      <c r="C20" s="55">
        <v>26</v>
      </c>
      <c r="D20" s="55" t="s">
        <v>63</v>
      </c>
      <c r="E20" s="55"/>
      <c r="F20" s="62" t="s">
        <v>64</v>
      </c>
      <c r="G20" s="63">
        <v>1.2999999999999999E-2</v>
      </c>
      <c r="H20" s="55"/>
      <c r="I20" s="55"/>
      <c r="J20" s="55"/>
      <c r="K20" s="55"/>
      <c r="L20" s="55"/>
      <c r="M20" s="55"/>
    </row>
    <row r="23" spans="1:13" x14ac:dyDescent="0.25">
      <c r="A23" s="76" t="s">
        <v>65</v>
      </c>
      <c r="B23" s="76"/>
      <c r="C23" s="76"/>
      <c r="D23" s="16">
        <f>SUM(D3:D17)</f>
        <v>125900027</v>
      </c>
      <c r="E23" s="29"/>
      <c r="F23" s="16">
        <f>SUM(F3:F6,F10:F14,)</f>
        <v>105614231</v>
      </c>
      <c r="G23" s="17"/>
      <c r="H23" s="16">
        <f>SUM(H4:H5)</f>
        <v>36943184</v>
      </c>
      <c r="I23" s="17"/>
      <c r="J23" s="16">
        <f>SUM(J13)</f>
        <v>5720776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125900027</v>
      </c>
      <c r="E24" s="17"/>
      <c r="F24" s="16">
        <f>F23+E31*5</f>
        <v>112620586</v>
      </c>
      <c r="G24" s="17"/>
      <c r="H24" s="16">
        <f>H23+E32*13</f>
        <v>56981359.299999997</v>
      </c>
      <c r="I24" s="17"/>
      <c r="J24" s="16">
        <f>J23+E33*14</f>
        <v>29458306.740000002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125900027</v>
      </c>
      <c r="E25" s="17"/>
      <c r="F25" s="16">
        <f>F23+F8+F9+F15</f>
        <v>120698770</v>
      </c>
      <c r="G25" s="17"/>
      <c r="H25" s="16">
        <f>H23+H6+H10+H12+H13+H14</f>
        <v>58678544</v>
      </c>
      <c r="I25" s="17"/>
      <c r="J25" s="16">
        <f>J23+J6+J10+J12+J14</f>
        <v>33479052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28746973</v>
      </c>
      <c r="E28" s="16"/>
      <c r="F28" s="16">
        <f>F26-F24</f>
        <v>52379414</v>
      </c>
      <c r="G28" s="16"/>
      <c r="H28" s="16">
        <f>H26-H24</f>
        <v>116268640.7</v>
      </c>
      <c r="I28" s="16"/>
      <c r="J28" s="16">
        <f>J26-J24</f>
        <v>152454693.25999999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61994973</v>
      </c>
      <c r="E29" s="16"/>
      <c r="F29" s="16">
        <f>F27-F24</f>
        <v>87379414</v>
      </c>
      <c r="G29" s="16"/>
      <c r="H29" s="16">
        <f>H27-H24</f>
        <v>153517640.69999999</v>
      </c>
      <c r="I29" s="16"/>
      <c r="J29" s="16">
        <f>J27-J24</f>
        <v>191565693.25999999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1" right="1" top="1" bottom="1" header="0.5" footer="0.5"/>
  <pageSetup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7E37-1883-475C-9985-6EF7F793E788}">
  <sheetPr>
    <pageSetUpPr fitToPage="1"/>
  </sheetPr>
  <dimension ref="A1:T34"/>
  <sheetViews>
    <sheetView workbookViewId="0">
      <pane ySplit="2" topLeftCell="A3" activePane="bottomLeft" state="frozen"/>
      <selection pane="bottomLeft" activeCell="L25" sqref="L25"/>
    </sheetView>
  </sheetViews>
  <sheetFormatPr defaultRowHeight="15" x14ac:dyDescent="0.25"/>
  <cols>
    <col min="1" max="1" width="26.2851562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1.5703125" bestFit="1" customWidth="1"/>
    <col min="17" max="17" width="16.5703125" bestFit="1" customWidth="1"/>
    <col min="18" max="18" width="17.85546875" bestFit="1" customWidth="1"/>
    <col min="19" max="19" width="14.42578125" bestFit="1" customWidth="1"/>
    <col min="20" max="20" width="16.85546875" bestFit="1" customWidth="1"/>
  </cols>
  <sheetData>
    <row r="1" spans="1:20" x14ac:dyDescent="0.25">
      <c r="A1" s="83" t="s">
        <v>492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66" t="s">
        <v>1</v>
      </c>
      <c r="B2" s="66" t="s">
        <v>2</v>
      </c>
      <c r="C2" s="66" t="s">
        <v>3</v>
      </c>
      <c r="D2" s="66" t="s">
        <v>4</v>
      </c>
      <c r="E2" s="66" t="s">
        <v>396</v>
      </c>
      <c r="F2" s="66" t="s">
        <v>5</v>
      </c>
      <c r="G2" s="66" t="s">
        <v>397</v>
      </c>
      <c r="H2" s="66" t="s">
        <v>6</v>
      </c>
      <c r="I2" s="66" t="s">
        <v>398</v>
      </c>
      <c r="J2" s="66" t="s">
        <v>7</v>
      </c>
      <c r="K2" s="66" t="s">
        <v>399</v>
      </c>
      <c r="L2" s="66" t="s">
        <v>8</v>
      </c>
      <c r="M2" s="66" t="s">
        <v>400</v>
      </c>
    </row>
    <row r="3" spans="1:20" x14ac:dyDescent="0.25">
      <c r="A3" s="66" t="s">
        <v>97</v>
      </c>
      <c r="B3" s="55" t="s">
        <v>25</v>
      </c>
      <c r="C3" s="55">
        <v>24</v>
      </c>
      <c r="D3" s="56">
        <v>37958760</v>
      </c>
      <c r="E3" s="57">
        <v>0.245</v>
      </c>
      <c r="F3" s="56">
        <v>40770520</v>
      </c>
      <c r="G3" s="57">
        <v>0.246</v>
      </c>
      <c r="H3" s="56">
        <v>43582280</v>
      </c>
      <c r="I3" s="57">
        <v>0.25</v>
      </c>
      <c r="J3" s="56">
        <v>46394040</v>
      </c>
      <c r="K3" s="57">
        <v>0.253</v>
      </c>
      <c r="L3" s="58" t="s">
        <v>98</v>
      </c>
      <c r="M3" s="57">
        <v>0.35299999999999998</v>
      </c>
      <c r="O3" s="31" t="s">
        <v>484</v>
      </c>
    </row>
    <row r="4" spans="1:20" x14ac:dyDescent="0.25">
      <c r="A4" s="66" t="s">
        <v>99</v>
      </c>
      <c r="B4" s="55" t="s">
        <v>14</v>
      </c>
      <c r="C4" s="55">
        <v>27</v>
      </c>
      <c r="D4" s="56">
        <v>25000000</v>
      </c>
      <c r="E4" s="57">
        <v>0.16200000000000001</v>
      </c>
      <c r="F4" s="56">
        <v>22826087</v>
      </c>
      <c r="G4" s="57">
        <v>0.13800000000000001</v>
      </c>
      <c r="H4" s="58" t="s">
        <v>100</v>
      </c>
      <c r="I4" s="57">
        <v>0.19600000000000001</v>
      </c>
      <c r="J4" s="55"/>
      <c r="K4" s="55"/>
      <c r="L4" s="55"/>
      <c r="M4" s="55"/>
      <c r="O4" s="32" t="s">
        <v>485</v>
      </c>
    </row>
    <row r="5" spans="1:20" x14ac:dyDescent="0.25">
      <c r="A5" s="66" t="s">
        <v>103</v>
      </c>
      <c r="B5" s="55" t="s">
        <v>11</v>
      </c>
      <c r="C5" s="55">
        <v>25</v>
      </c>
      <c r="D5" s="56">
        <v>13666667</v>
      </c>
      <c r="E5" s="57">
        <v>8.7999999999999995E-2</v>
      </c>
      <c r="F5" s="56">
        <v>14679012</v>
      </c>
      <c r="G5" s="57">
        <v>8.7999999999999995E-2</v>
      </c>
      <c r="H5" s="58" t="s">
        <v>104</v>
      </c>
      <c r="I5" s="57">
        <v>0.126</v>
      </c>
      <c r="J5" s="55"/>
      <c r="K5" s="55"/>
      <c r="L5" s="55"/>
      <c r="M5" s="55"/>
      <c r="O5" s="33" t="s">
        <v>486</v>
      </c>
    </row>
    <row r="6" spans="1:20" x14ac:dyDescent="0.25">
      <c r="A6" s="66" t="s">
        <v>105</v>
      </c>
      <c r="B6" s="55" t="s">
        <v>10</v>
      </c>
      <c r="C6" s="55">
        <v>27</v>
      </c>
      <c r="D6" s="56">
        <v>13645500</v>
      </c>
      <c r="E6" s="57">
        <v>8.7999999999999995E-2</v>
      </c>
      <c r="F6" s="56">
        <v>14265750</v>
      </c>
      <c r="G6" s="57">
        <v>8.5999999999999993E-2</v>
      </c>
      <c r="H6" s="58" t="s">
        <v>106</v>
      </c>
      <c r="I6" s="57">
        <v>0.123</v>
      </c>
      <c r="J6" s="55"/>
      <c r="K6" s="55"/>
      <c r="L6" s="55"/>
      <c r="M6" s="55"/>
      <c r="O6" s="34" t="s">
        <v>487</v>
      </c>
    </row>
    <row r="7" spans="1:20" x14ac:dyDescent="0.25">
      <c r="A7" s="66" t="s">
        <v>134</v>
      </c>
      <c r="B7" s="55" t="s">
        <v>25</v>
      </c>
      <c r="C7" s="55">
        <v>25</v>
      </c>
      <c r="D7" s="56">
        <v>12888889</v>
      </c>
      <c r="E7" s="57">
        <v>8.3000000000000004E-2</v>
      </c>
      <c r="F7" s="65" t="s">
        <v>135</v>
      </c>
      <c r="G7" s="57">
        <v>0.14799999999999999</v>
      </c>
      <c r="H7" s="55"/>
      <c r="I7" s="57"/>
      <c r="J7" s="55"/>
      <c r="K7" s="55"/>
      <c r="L7" s="55"/>
      <c r="M7" s="55"/>
    </row>
    <row r="8" spans="1:20" x14ac:dyDescent="0.25">
      <c r="A8" s="66" t="s">
        <v>107</v>
      </c>
      <c r="B8" s="55" t="s">
        <v>14</v>
      </c>
      <c r="C8" s="55">
        <v>23</v>
      </c>
      <c r="D8" s="56">
        <v>11968800</v>
      </c>
      <c r="E8" s="57">
        <v>7.6999999999999999E-2</v>
      </c>
      <c r="F8" s="56">
        <v>15104626</v>
      </c>
      <c r="G8" s="57">
        <v>9.0999999999999998E-2</v>
      </c>
      <c r="H8" s="62" t="s">
        <v>108</v>
      </c>
      <c r="I8" s="57">
        <v>0.217</v>
      </c>
      <c r="J8" s="55"/>
      <c r="K8" s="55"/>
      <c r="L8" s="55"/>
      <c r="M8" s="55"/>
      <c r="O8" s="9" t="s">
        <v>395</v>
      </c>
      <c r="P8" s="6" t="s">
        <v>25</v>
      </c>
      <c r="Q8" s="6" t="s">
        <v>11</v>
      </c>
      <c r="R8" s="6" t="s">
        <v>14</v>
      </c>
      <c r="S8" s="6" t="s">
        <v>10</v>
      </c>
      <c r="T8" s="6" t="s">
        <v>18</v>
      </c>
    </row>
    <row r="9" spans="1:20" x14ac:dyDescent="0.25">
      <c r="A9" s="66" t="s">
        <v>109</v>
      </c>
      <c r="B9" s="55" t="s">
        <v>14</v>
      </c>
      <c r="C9" s="55">
        <v>20</v>
      </c>
      <c r="D9" s="56">
        <v>10015680</v>
      </c>
      <c r="E9" s="57">
        <v>6.5000000000000002E-2</v>
      </c>
      <c r="F9" s="56">
        <v>10516560</v>
      </c>
      <c r="G9" s="57">
        <v>6.3E-2</v>
      </c>
      <c r="H9" s="60">
        <v>11017560</v>
      </c>
      <c r="I9" s="57">
        <v>6.3E-2</v>
      </c>
      <c r="J9" s="60">
        <v>13937214</v>
      </c>
      <c r="K9" s="57">
        <v>7.5999999999999998E-2</v>
      </c>
      <c r="L9" s="62" t="s">
        <v>110</v>
      </c>
      <c r="M9" s="57">
        <v>0.18099999999999999</v>
      </c>
      <c r="O9" s="6" t="s">
        <v>488</v>
      </c>
      <c r="P9" s="9" t="s">
        <v>97</v>
      </c>
      <c r="Q9" s="9" t="s">
        <v>107</v>
      </c>
      <c r="R9" s="9" t="s">
        <v>109</v>
      </c>
      <c r="S9" s="9" t="s">
        <v>99</v>
      </c>
      <c r="T9" s="9" t="s">
        <v>122</v>
      </c>
    </row>
    <row r="10" spans="1:20" x14ac:dyDescent="0.25">
      <c r="A10" s="66" t="s">
        <v>113</v>
      </c>
      <c r="B10" s="55" t="s">
        <v>25</v>
      </c>
      <c r="C10" s="55">
        <v>24</v>
      </c>
      <c r="D10" s="56">
        <v>8000000</v>
      </c>
      <c r="E10" s="57">
        <v>5.1999999999999998E-2</v>
      </c>
      <c r="F10" s="56">
        <v>8000000</v>
      </c>
      <c r="G10" s="57">
        <v>4.8000000000000001E-2</v>
      </c>
      <c r="H10" s="60">
        <v>8000000</v>
      </c>
      <c r="I10" s="57">
        <v>4.5999999999999999E-2</v>
      </c>
      <c r="J10" s="58" t="s">
        <v>114</v>
      </c>
      <c r="K10" s="57">
        <v>8.3000000000000004E-2</v>
      </c>
      <c r="L10" s="55"/>
      <c r="M10" s="55"/>
      <c r="O10" s="6" t="s">
        <v>489</v>
      </c>
      <c r="P10" s="9" t="s">
        <v>134</v>
      </c>
      <c r="Q10" s="9" t="s">
        <v>121</v>
      </c>
      <c r="R10" s="9" t="s">
        <v>103</v>
      </c>
      <c r="S10" s="9" t="s">
        <v>105</v>
      </c>
      <c r="T10" s="9" t="s">
        <v>119</v>
      </c>
    </row>
    <row r="11" spans="1:20" x14ac:dyDescent="0.25">
      <c r="A11" s="66" t="s">
        <v>115</v>
      </c>
      <c r="B11" s="55" t="s">
        <v>10</v>
      </c>
      <c r="C11" s="55">
        <v>20</v>
      </c>
      <c r="D11" s="56">
        <v>7863240</v>
      </c>
      <c r="E11" s="57">
        <v>5.0999999999999997E-2</v>
      </c>
      <c r="F11" s="56">
        <v>8237880</v>
      </c>
      <c r="G11" s="57">
        <v>0.05</v>
      </c>
      <c r="H11" s="60">
        <v>10445633</v>
      </c>
      <c r="I11" s="57">
        <v>0.06</v>
      </c>
      <c r="J11" s="62" t="s">
        <v>116</v>
      </c>
      <c r="K11" s="57">
        <v>5.7000000000000002E-2</v>
      </c>
      <c r="L11" s="55"/>
      <c r="M11" s="55"/>
      <c r="O11" s="6" t="s">
        <v>490</v>
      </c>
      <c r="P11" s="9" t="s">
        <v>113</v>
      </c>
      <c r="Q11" s="9" t="s">
        <v>111</v>
      </c>
      <c r="R11" s="9" t="s">
        <v>117</v>
      </c>
      <c r="S11" s="9" t="s">
        <v>115</v>
      </c>
      <c r="T11" s="9" t="s">
        <v>418</v>
      </c>
    </row>
    <row r="12" spans="1:20" x14ac:dyDescent="0.25">
      <c r="A12" s="66" t="s">
        <v>117</v>
      </c>
      <c r="B12" s="55" t="s">
        <v>14</v>
      </c>
      <c r="C12" s="55">
        <v>20</v>
      </c>
      <c r="D12" s="56">
        <v>2763960</v>
      </c>
      <c r="E12" s="57">
        <v>1.7999999999999999E-2</v>
      </c>
      <c r="F12" s="56">
        <v>2902080</v>
      </c>
      <c r="G12" s="57">
        <v>1.7000000000000001E-2</v>
      </c>
      <c r="H12" s="60">
        <v>3040320</v>
      </c>
      <c r="I12" s="57">
        <v>1.7000000000000001E-2</v>
      </c>
      <c r="J12" s="60">
        <v>5487778</v>
      </c>
      <c r="K12" s="57">
        <v>0.03</v>
      </c>
      <c r="L12" s="62" t="s">
        <v>118</v>
      </c>
      <c r="M12" s="57">
        <v>8.5999999999999993E-2</v>
      </c>
      <c r="Q12" s="2" t="s">
        <v>124</v>
      </c>
      <c r="R12" s="2" t="s">
        <v>419</v>
      </c>
      <c r="T12" s="2" t="s">
        <v>125</v>
      </c>
    </row>
    <row r="13" spans="1:20" x14ac:dyDescent="0.25">
      <c r="A13" s="66" t="s">
        <v>418</v>
      </c>
      <c r="B13" s="55" t="s">
        <v>18</v>
      </c>
      <c r="C13" s="55">
        <v>27</v>
      </c>
      <c r="D13" s="56">
        <v>2546675</v>
      </c>
      <c r="E13" s="57">
        <v>1.6E-2</v>
      </c>
      <c r="F13" s="65" t="s">
        <v>57</v>
      </c>
      <c r="G13" s="57">
        <v>1.4999999999999999E-2</v>
      </c>
      <c r="H13" s="56"/>
      <c r="I13" s="57"/>
      <c r="J13" s="56"/>
      <c r="K13" s="57"/>
      <c r="L13" s="55"/>
      <c r="M13" s="57"/>
    </row>
    <row r="14" spans="1:20" x14ac:dyDescent="0.25">
      <c r="A14" s="66" t="s">
        <v>119</v>
      </c>
      <c r="B14" s="55" t="s">
        <v>18</v>
      </c>
      <c r="C14" s="55">
        <v>24</v>
      </c>
      <c r="D14" s="56">
        <v>2296274</v>
      </c>
      <c r="E14" s="57">
        <v>1.4999999999999999E-2</v>
      </c>
      <c r="F14" s="56">
        <v>2411090</v>
      </c>
      <c r="G14" s="57">
        <v>1.4999999999999999E-2</v>
      </c>
      <c r="H14" s="56">
        <v>2525901</v>
      </c>
      <c r="I14" s="57">
        <v>1.4E-2</v>
      </c>
      <c r="J14" s="60">
        <v>2735698</v>
      </c>
      <c r="K14" s="57">
        <v>1.4999999999999999E-2</v>
      </c>
      <c r="L14" s="58" t="s">
        <v>120</v>
      </c>
      <c r="M14" s="57">
        <v>1.6E-2</v>
      </c>
    </row>
    <row r="15" spans="1:20" x14ac:dyDescent="0.25">
      <c r="A15" s="66" t="s">
        <v>121</v>
      </c>
      <c r="B15" s="55" t="s">
        <v>14</v>
      </c>
      <c r="C15" s="55">
        <v>23</v>
      </c>
      <c r="D15" s="56">
        <v>2296274</v>
      </c>
      <c r="E15" s="57">
        <v>1.4999999999999999E-2</v>
      </c>
      <c r="F15" s="56">
        <v>2411090</v>
      </c>
      <c r="G15" s="57">
        <v>1.4999999999999999E-2</v>
      </c>
      <c r="H15" s="56">
        <v>2525901</v>
      </c>
      <c r="I15" s="57">
        <v>1.4E-2</v>
      </c>
      <c r="J15" s="60">
        <v>2735698</v>
      </c>
      <c r="K15" s="57">
        <v>1.4999999999999999E-2</v>
      </c>
      <c r="L15" s="58" t="s">
        <v>120</v>
      </c>
      <c r="M15" s="57">
        <v>1.6E-2</v>
      </c>
    </row>
    <row r="16" spans="1:20" x14ac:dyDescent="0.25">
      <c r="A16" s="66" t="s">
        <v>122</v>
      </c>
      <c r="B16" s="55" t="s">
        <v>10</v>
      </c>
      <c r="C16" s="55">
        <v>24</v>
      </c>
      <c r="D16" s="56">
        <v>2270735</v>
      </c>
      <c r="E16" s="57">
        <v>1.4999999999999999E-2</v>
      </c>
      <c r="F16" s="56">
        <v>2461462</v>
      </c>
      <c r="G16" s="57">
        <v>1.4999999999999999E-2</v>
      </c>
      <c r="H16" s="58" t="s">
        <v>123</v>
      </c>
      <c r="I16" s="57">
        <v>1.2999999999999999E-2</v>
      </c>
      <c r="J16" s="55"/>
      <c r="K16" s="55"/>
      <c r="L16" s="55"/>
      <c r="M16" s="55"/>
    </row>
    <row r="17" spans="1:13" x14ac:dyDescent="0.25">
      <c r="A17" s="66" t="s">
        <v>111</v>
      </c>
      <c r="B17" s="55" t="s">
        <v>11</v>
      </c>
      <c r="C17" s="55">
        <v>33</v>
      </c>
      <c r="D17" s="56">
        <v>831410</v>
      </c>
      <c r="E17" s="57">
        <v>5.0000000000000001E-3</v>
      </c>
      <c r="F17" s="60">
        <v>3815861</v>
      </c>
      <c r="G17" s="57">
        <v>2.3E-2</v>
      </c>
      <c r="H17" s="58" t="s">
        <v>58</v>
      </c>
      <c r="I17" s="57">
        <v>1.4999999999999999E-2</v>
      </c>
      <c r="J17" s="55"/>
      <c r="K17" s="55"/>
      <c r="L17" s="55"/>
      <c r="M17" s="55"/>
    </row>
    <row r="18" spans="1:13" x14ac:dyDescent="0.25">
      <c r="A18" s="66" t="s">
        <v>124</v>
      </c>
      <c r="B18" s="55" t="s">
        <v>11</v>
      </c>
      <c r="C18" s="55">
        <v>25</v>
      </c>
      <c r="D18" s="55" t="s">
        <v>63</v>
      </c>
      <c r="E18" s="55"/>
      <c r="F18" s="62" t="s">
        <v>64</v>
      </c>
      <c r="G18" s="57">
        <v>1.2999999999999999E-2</v>
      </c>
      <c r="H18" s="55"/>
      <c r="I18" s="55"/>
      <c r="J18" s="55"/>
      <c r="K18" s="55"/>
      <c r="L18" s="55"/>
      <c r="M18" s="55"/>
    </row>
    <row r="19" spans="1:13" x14ac:dyDescent="0.25">
      <c r="A19" s="66" t="s">
        <v>125</v>
      </c>
      <c r="B19" s="55" t="s">
        <v>10</v>
      </c>
      <c r="C19" s="55">
        <v>23</v>
      </c>
      <c r="D19" s="55" t="s">
        <v>63</v>
      </c>
      <c r="E19" s="55"/>
      <c r="F19" s="55" t="s">
        <v>63</v>
      </c>
      <c r="G19" s="57"/>
      <c r="H19" s="62" t="s">
        <v>64</v>
      </c>
      <c r="I19" s="57">
        <v>1.2999999999999999E-2</v>
      </c>
      <c r="J19" s="55"/>
      <c r="K19" s="55"/>
      <c r="L19" s="55"/>
      <c r="M19" s="55"/>
    </row>
    <row r="20" spans="1:13" x14ac:dyDescent="0.25">
      <c r="A20" s="66" t="s">
        <v>419</v>
      </c>
      <c r="B20" s="55" t="s">
        <v>11</v>
      </c>
      <c r="C20" s="55">
        <v>24</v>
      </c>
      <c r="D20" s="55" t="s">
        <v>63</v>
      </c>
      <c r="E20" s="55"/>
      <c r="F20" s="55" t="s">
        <v>63</v>
      </c>
      <c r="G20" s="55"/>
      <c r="H20" s="62" t="s">
        <v>64</v>
      </c>
      <c r="I20" s="57">
        <v>1.2999999999999999E-2</v>
      </c>
      <c r="J20" s="55"/>
      <c r="K20" s="55"/>
      <c r="L20" s="55"/>
      <c r="M20" s="55"/>
    </row>
    <row r="23" spans="1:13" x14ac:dyDescent="0.25">
      <c r="A23" s="76" t="s">
        <v>65</v>
      </c>
      <c r="B23" s="76"/>
      <c r="C23" s="76"/>
      <c r="D23" s="16">
        <f>SUM(D3:D17)</f>
        <v>154012864</v>
      </c>
      <c r="E23" s="29"/>
      <c r="F23" s="16">
        <f>SUM(F3:F6,F8:F12,F14:F16)</f>
        <v>144586157</v>
      </c>
      <c r="G23" s="17"/>
      <c r="H23" s="16">
        <f>SUM(H3,H14:H15)</f>
        <v>48634082</v>
      </c>
      <c r="I23" s="17"/>
      <c r="J23" s="16">
        <f>SUM(J3)</f>
        <v>46394040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154012864</v>
      </c>
      <c r="E24" s="17"/>
      <c r="F24" s="16">
        <f>F23+E31*3</f>
        <v>148789970</v>
      </c>
      <c r="G24" s="17"/>
      <c r="H24" s="16">
        <f>H23+E32*12</f>
        <v>67130859.200000003</v>
      </c>
      <c r="I24" s="17"/>
      <c r="J24" s="16">
        <f>J23+E33*14</f>
        <v>70131570.74000001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154012864</v>
      </c>
      <c r="E25" s="17"/>
      <c r="F25" s="16">
        <f>F23+F17</f>
        <v>148402018</v>
      </c>
      <c r="G25" s="17"/>
      <c r="H25" s="16">
        <f>H23+H9+H10+H11+H12</f>
        <v>81137595</v>
      </c>
      <c r="I25" s="17"/>
      <c r="J25" s="16">
        <f>J23+J9+J12+J14+J15</f>
        <v>71290428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634136</v>
      </c>
      <c r="E28" s="16"/>
      <c r="F28" s="16">
        <f>F26-F24</f>
        <v>16210030</v>
      </c>
      <c r="G28" s="16"/>
      <c r="H28" s="16">
        <f>H26-H24</f>
        <v>106119140.8</v>
      </c>
      <c r="I28" s="16"/>
      <c r="J28" s="16">
        <f>J26-J24</f>
        <v>111781429.25999999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33882136</v>
      </c>
      <c r="E29" s="16"/>
      <c r="F29" s="16">
        <f>F27-F24</f>
        <v>51210030</v>
      </c>
      <c r="G29" s="16"/>
      <c r="H29" s="16">
        <f>H27-H24</f>
        <v>143368140.80000001</v>
      </c>
      <c r="I29" s="16"/>
      <c r="J29" s="16">
        <f>J27-J24</f>
        <v>150892429.25999999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1" right="1" top="1" bottom="1" header="0.5" footer="0.5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DEDE-E70F-40DA-8E7E-AF1D694DD5CC}">
  <dimension ref="A1:T34"/>
  <sheetViews>
    <sheetView workbookViewId="0">
      <selection activeCell="L25" sqref="L25"/>
    </sheetView>
  </sheetViews>
  <sheetFormatPr defaultRowHeight="15" x14ac:dyDescent="0.25"/>
  <cols>
    <col min="1" max="1" width="24.4257812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style="8" bestFit="1" customWidth="1"/>
    <col min="6" max="6" width="14.5703125" bestFit="1" customWidth="1"/>
    <col min="7" max="7" width="9.140625" style="8"/>
    <col min="8" max="8" width="13.7109375" bestFit="1" customWidth="1"/>
    <col min="9" max="9" width="9.140625" style="8"/>
    <col min="10" max="10" width="13.7109375" bestFit="1" customWidth="1"/>
    <col min="11" max="11" width="9.140625" style="8"/>
    <col min="12" max="12" width="13.7109375" bestFit="1" customWidth="1"/>
    <col min="13" max="13" width="9.140625" style="8"/>
    <col min="15" max="15" width="13.28515625" bestFit="1" customWidth="1"/>
    <col min="16" max="16" width="14.85546875" bestFit="1" customWidth="1"/>
    <col min="17" max="17" width="16.5703125" bestFit="1" customWidth="1"/>
    <col min="18" max="18" width="15.5703125" bestFit="1" customWidth="1"/>
    <col min="19" max="19" width="19.85546875" bestFit="1" customWidth="1"/>
    <col min="20" max="20" width="15" bestFit="1" customWidth="1"/>
  </cols>
  <sheetData>
    <row r="1" spans="1:20" x14ac:dyDescent="0.25">
      <c r="A1" s="83" t="s">
        <v>493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66" t="s">
        <v>1</v>
      </c>
      <c r="B2" s="66" t="s">
        <v>2</v>
      </c>
      <c r="C2" s="66" t="s">
        <v>3</v>
      </c>
      <c r="D2" s="66" t="s">
        <v>4</v>
      </c>
      <c r="E2" s="66" t="s">
        <v>396</v>
      </c>
      <c r="F2" s="66" t="s">
        <v>5</v>
      </c>
      <c r="G2" s="66" t="s">
        <v>397</v>
      </c>
      <c r="H2" s="66" t="s">
        <v>6</v>
      </c>
      <c r="I2" s="66" t="s">
        <v>398</v>
      </c>
      <c r="J2" s="66" t="s">
        <v>7</v>
      </c>
      <c r="K2" s="66" t="s">
        <v>399</v>
      </c>
      <c r="L2" s="66" t="s">
        <v>8</v>
      </c>
      <c r="M2" s="66" t="s">
        <v>400</v>
      </c>
    </row>
    <row r="3" spans="1:20" x14ac:dyDescent="0.25">
      <c r="A3" s="66" t="s">
        <v>38</v>
      </c>
      <c r="B3" s="55" t="s">
        <v>11</v>
      </c>
      <c r="C3" s="55">
        <v>26</v>
      </c>
      <c r="D3" s="56">
        <v>27678571</v>
      </c>
      <c r="E3" s="57">
        <v>0.17899999999999999</v>
      </c>
      <c r="F3" s="65" t="s">
        <v>49</v>
      </c>
      <c r="G3" s="57">
        <v>0.25</v>
      </c>
      <c r="H3" s="56"/>
      <c r="I3" s="57"/>
      <c r="J3" s="56"/>
      <c r="K3" s="57"/>
      <c r="L3" s="55"/>
      <c r="M3" s="57"/>
      <c r="O3" s="31" t="s">
        <v>484</v>
      </c>
    </row>
    <row r="4" spans="1:20" x14ac:dyDescent="0.25">
      <c r="A4" s="66" t="s">
        <v>126</v>
      </c>
      <c r="B4" s="55" t="s">
        <v>11</v>
      </c>
      <c r="C4" s="55">
        <v>23</v>
      </c>
      <c r="D4" s="56">
        <v>25000000</v>
      </c>
      <c r="E4" s="57">
        <v>0.16200000000000001</v>
      </c>
      <c r="F4" s="56">
        <v>25000000</v>
      </c>
      <c r="G4" s="57">
        <v>0.151</v>
      </c>
      <c r="H4" s="56">
        <v>25000000</v>
      </c>
      <c r="I4" s="57">
        <v>0.14299999999999999</v>
      </c>
      <c r="J4" s="56">
        <v>25000000</v>
      </c>
      <c r="K4" s="57">
        <v>0.13700000000000001</v>
      </c>
      <c r="L4" s="58" t="s">
        <v>127</v>
      </c>
      <c r="M4" s="57">
        <v>0.19500000000000001</v>
      </c>
      <c r="O4" s="32" t="s">
        <v>485</v>
      </c>
    </row>
    <row r="5" spans="1:20" x14ac:dyDescent="0.25">
      <c r="A5" s="66" t="s">
        <v>101</v>
      </c>
      <c r="B5" s="55" t="s">
        <v>25</v>
      </c>
      <c r="C5" s="55">
        <v>27</v>
      </c>
      <c r="D5" s="56">
        <v>18975000</v>
      </c>
      <c r="E5" s="57">
        <v>0.123</v>
      </c>
      <c r="F5" s="58" t="s">
        <v>102</v>
      </c>
      <c r="G5" s="57">
        <v>0.17100000000000001</v>
      </c>
      <c r="H5" s="55"/>
      <c r="I5" s="55"/>
      <c r="J5" s="55"/>
      <c r="K5" s="55"/>
      <c r="L5" s="55"/>
      <c r="M5" s="55"/>
      <c r="O5" s="33" t="s">
        <v>486</v>
      </c>
    </row>
    <row r="6" spans="1:20" x14ac:dyDescent="0.25">
      <c r="A6" s="66" t="s">
        <v>130</v>
      </c>
      <c r="B6" s="55" t="s">
        <v>18</v>
      </c>
      <c r="C6" s="55">
        <v>28</v>
      </c>
      <c r="D6" s="56">
        <v>18080496</v>
      </c>
      <c r="E6" s="57">
        <v>0.11700000000000001</v>
      </c>
      <c r="F6" s="65" t="s">
        <v>131</v>
      </c>
      <c r="G6" s="57">
        <v>0.16300000000000001</v>
      </c>
      <c r="H6" s="56"/>
      <c r="I6" s="57"/>
      <c r="J6" s="56"/>
      <c r="K6" s="57"/>
      <c r="L6" s="55"/>
      <c r="M6" s="57"/>
      <c r="O6" s="34" t="s">
        <v>487</v>
      </c>
    </row>
    <row r="7" spans="1:20" x14ac:dyDescent="0.25">
      <c r="A7" s="66" t="s">
        <v>132</v>
      </c>
      <c r="B7" s="55" t="s">
        <v>10</v>
      </c>
      <c r="C7" s="55">
        <v>24</v>
      </c>
      <c r="D7" s="56">
        <v>18000000</v>
      </c>
      <c r="E7" s="57">
        <v>0.11600000000000001</v>
      </c>
      <c r="F7" s="56">
        <v>18000000</v>
      </c>
      <c r="G7" s="57">
        <v>0.108</v>
      </c>
      <c r="H7" s="56">
        <v>18000000</v>
      </c>
      <c r="I7" s="57">
        <v>0.10299999999999999</v>
      </c>
      <c r="J7" s="67">
        <v>18000000</v>
      </c>
      <c r="K7" s="57">
        <v>9.8000000000000004E-2</v>
      </c>
      <c r="L7" s="58" t="s">
        <v>133</v>
      </c>
      <c r="M7" s="57">
        <v>0.14099999999999999</v>
      </c>
    </row>
    <row r="8" spans="1:20" x14ac:dyDescent="0.25">
      <c r="A8" s="66" t="s">
        <v>136</v>
      </c>
      <c r="B8" s="55" t="s">
        <v>11</v>
      </c>
      <c r="C8" s="55">
        <v>25</v>
      </c>
      <c r="D8" s="56">
        <v>11000000</v>
      </c>
      <c r="E8" s="57">
        <v>7.0999999999999994E-2</v>
      </c>
      <c r="F8" s="56">
        <v>11814814</v>
      </c>
      <c r="G8" s="57">
        <v>7.0999999999999994E-2</v>
      </c>
      <c r="H8" s="58" t="s">
        <v>137</v>
      </c>
      <c r="I8" s="57">
        <v>0.129</v>
      </c>
      <c r="J8" s="55"/>
      <c r="K8" s="55"/>
      <c r="L8" s="55"/>
      <c r="M8" s="55"/>
    </row>
    <row r="9" spans="1:20" x14ac:dyDescent="0.25">
      <c r="A9" s="66" t="s">
        <v>214</v>
      </c>
      <c r="B9" s="55" t="s">
        <v>11</v>
      </c>
      <c r="C9" s="55">
        <v>23</v>
      </c>
      <c r="D9" s="56">
        <v>10107163</v>
      </c>
      <c r="E9" s="57">
        <v>6.5000000000000002E-2</v>
      </c>
      <c r="F9" s="64" t="s">
        <v>215</v>
      </c>
      <c r="G9" s="57">
        <v>0.183</v>
      </c>
      <c r="H9" s="55"/>
      <c r="I9" s="57"/>
      <c r="J9" s="55"/>
      <c r="K9" s="55"/>
      <c r="L9" s="55"/>
      <c r="M9" s="55"/>
      <c r="O9" s="2" t="s">
        <v>395</v>
      </c>
      <c r="P9" t="s">
        <v>25</v>
      </c>
      <c r="Q9" t="s">
        <v>11</v>
      </c>
      <c r="R9" t="s">
        <v>14</v>
      </c>
      <c r="S9" t="s">
        <v>10</v>
      </c>
      <c r="T9" t="s">
        <v>18</v>
      </c>
    </row>
    <row r="10" spans="1:20" x14ac:dyDescent="0.25">
      <c r="A10" s="66" t="s">
        <v>138</v>
      </c>
      <c r="B10" s="55" t="s">
        <v>10</v>
      </c>
      <c r="C10" s="55">
        <v>25</v>
      </c>
      <c r="D10" s="56">
        <v>9000000</v>
      </c>
      <c r="E10" s="57">
        <v>5.8000000000000003E-2</v>
      </c>
      <c r="F10" s="56">
        <v>9428571</v>
      </c>
      <c r="G10" s="57">
        <v>5.7000000000000002E-2</v>
      </c>
      <c r="H10" s="58" t="s">
        <v>112</v>
      </c>
      <c r="I10" s="57">
        <v>0.10299999999999999</v>
      </c>
      <c r="J10" s="55"/>
      <c r="K10" s="55"/>
      <c r="L10" s="55"/>
      <c r="M10" s="55"/>
      <c r="O10" t="s">
        <v>488</v>
      </c>
      <c r="P10" s="2" t="s">
        <v>126</v>
      </c>
      <c r="Q10" s="2" t="s">
        <v>101</v>
      </c>
      <c r="R10" s="2" t="s">
        <v>140</v>
      </c>
      <c r="S10" s="2" t="s">
        <v>138</v>
      </c>
      <c r="T10" s="2" t="s">
        <v>130</v>
      </c>
    </row>
    <row r="11" spans="1:20" x14ac:dyDescent="0.25">
      <c r="A11" s="66" t="s">
        <v>139</v>
      </c>
      <c r="B11" s="55" t="s">
        <v>25</v>
      </c>
      <c r="C11" s="55">
        <v>26</v>
      </c>
      <c r="D11" s="56">
        <v>8000000</v>
      </c>
      <c r="E11" s="57">
        <v>5.1999999999999998E-2</v>
      </c>
      <c r="F11" s="56">
        <v>8000000</v>
      </c>
      <c r="G11" s="57">
        <v>4.8000000000000001E-2</v>
      </c>
      <c r="H11" s="60">
        <v>8000000</v>
      </c>
      <c r="I11" s="57">
        <v>4.5999999999999999E-2</v>
      </c>
      <c r="J11" s="58" t="s">
        <v>114</v>
      </c>
      <c r="K11" s="57">
        <v>8.3000000000000004E-2</v>
      </c>
      <c r="L11" s="55"/>
      <c r="M11" s="55"/>
      <c r="O11" t="s">
        <v>489</v>
      </c>
      <c r="P11" s="2" t="s">
        <v>139</v>
      </c>
      <c r="Q11" s="2" t="s">
        <v>38</v>
      </c>
      <c r="R11" s="2" t="s">
        <v>136</v>
      </c>
      <c r="S11" s="2" t="s">
        <v>422</v>
      </c>
      <c r="T11" s="2" t="s">
        <v>424</v>
      </c>
    </row>
    <row r="12" spans="1:20" x14ac:dyDescent="0.25">
      <c r="A12" s="66" t="s">
        <v>420</v>
      </c>
      <c r="B12" s="55" t="s">
        <v>25</v>
      </c>
      <c r="C12" s="55">
        <v>21</v>
      </c>
      <c r="D12" s="56">
        <v>6576120</v>
      </c>
      <c r="E12" s="57">
        <v>4.2999999999999997E-2</v>
      </c>
      <c r="F12" s="56">
        <v>6889320</v>
      </c>
      <c r="G12" s="57">
        <v>4.2000000000000003E-2</v>
      </c>
      <c r="H12" s="60">
        <v>8763216</v>
      </c>
      <c r="I12" s="57">
        <v>0.05</v>
      </c>
      <c r="J12" s="62" t="s">
        <v>421</v>
      </c>
      <c r="K12" s="57">
        <v>0.14399999999999999</v>
      </c>
      <c r="L12" s="55"/>
      <c r="M12" s="55"/>
      <c r="O12" t="s">
        <v>490</v>
      </c>
      <c r="P12" s="2" t="s">
        <v>420</v>
      </c>
      <c r="Q12" s="2" t="s">
        <v>214</v>
      </c>
      <c r="R12" s="2" t="s">
        <v>132</v>
      </c>
      <c r="S12" s="2" t="s">
        <v>142</v>
      </c>
      <c r="T12" s="2" t="s">
        <v>144</v>
      </c>
    </row>
    <row r="13" spans="1:20" x14ac:dyDescent="0.25">
      <c r="A13" s="66" t="s">
        <v>422</v>
      </c>
      <c r="B13" s="55" t="s">
        <v>10</v>
      </c>
      <c r="C13" s="55">
        <v>30</v>
      </c>
      <c r="D13" s="56">
        <v>5500000</v>
      </c>
      <c r="E13" s="57">
        <v>3.5999999999999997E-2</v>
      </c>
      <c r="F13" s="58" t="s">
        <v>423</v>
      </c>
      <c r="G13" s="57">
        <v>0.04</v>
      </c>
      <c r="H13" s="55"/>
      <c r="I13" s="55"/>
      <c r="J13" s="55"/>
      <c r="K13" s="55"/>
      <c r="L13" s="55"/>
      <c r="M13" s="55"/>
      <c r="P13" s="2" t="s">
        <v>145</v>
      </c>
      <c r="Q13" s="2" t="s">
        <v>427</v>
      </c>
      <c r="S13" s="2" t="s">
        <v>426</v>
      </c>
    </row>
    <row r="14" spans="1:20" x14ac:dyDescent="0.25">
      <c r="A14" s="66" t="s">
        <v>140</v>
      </c>
      <c r="B14" s="55" t="s">
        <v>14</v>
      </c>
      <c r="C14" s="55">
        <v>21</v>
      </c>
      <c r="D14" s="56">
        <v>5455560</v>
      </c>
      <c r="E14" s="57">
        <v>3.5000000000000003E-2</v>
      </c>
      <c r="F14" s="56">
        <v>5715360</v>
      </c>
      <c r="G14" s="57">
        <v>3.4000000000000002E-2</v>
      </c>
      <c r="H14" s="56">
        <v>7584283</v>
      </c>
      <c r="I14" s="57">
        <v>4.3999999999999997E-2</v>
      </c>
      <c r="J14" s="62" t="s">
        <v>141</v>
      </c>
      <c r="K14" s="57">
        <v>0.124</v>
      </c>
      <c r="L14" s="55"/>
      <c r="M14" s="55"/>
    </row>
    <row r="15" spans="1:20" x14ac:dyDescent="0.25">
      <c r="A15" s="66" t="s">
        <v>142</v>
      </c>
      <c r="B15" s="55" t="s">
        <v>10</v>
      </c>
      <c r="C15" s="55">
        <v>19</v>
      </c>
      <c r="D15" s="56">
        <v>5429520</v>
      </c>
      <c r="E15" s="57">
        <v>3.5000000000000003E-2</v>
      </c>
      <c r="F15" s="56">
        <v>5701200</v>
      </c>
      <c r="G15" s="57">
        <v>3.4000000000000002E-2</v>
      </c>
      <c r="H15" s="56">
        <v>5972760</v>
      </c>
      <c r="I15" s="57">
        <v>3.4000000000000002E-2</v>
      </c>
      <c r="J15" s="56">
        <v>8230464</v>
      </c>
      <c r="K15" s="57">
        <v>4.4999999999999998E-2</v>
      </c>
      <c r="L15" s="62" t="s">
        <v>143</v>
      </c>
      <c r="M15" s="57">
        <v>0.128</v>
      </c>
    </row>
    <row r="16" spans="1:20" x14ac:dyDescent="0.25">
      <c r="A16" s="66" t="s">
        <v>424</v>
      </c>
      <c r="B16" s="55" t="s">
        <v>18</v>
      </c>
      <c r="C16" s="55">
        <v>28</v>
      </c>
      <c r="D16" s="56">
        <v>5000000</v>
      </c>
      <c r="E16" s="57">
        <v>3.2000000000000001E-2</v>
      </c>
      <c r="F16" s="58" t="s">
        <v>425</v>
      </c>
      <c r="G16" s="57">
        <v>5.7000000000000002E-2</v>
      </c>
      <c r="H16" s="55"/>
      <c r="I16" s="55"/>
      <c r="J16" s="55"/>
      <c r="K16" s="55"/>
      <c r="L16" s="55"/>
      <c r="M16" s="55"/>
    </row>
    <row r="17" spans="1:13" x14ac:dyDescent="0.25">
      <c r="A17" s="66" t="s">
        <v>426</v>
      </c>
      <c r="B17" s="55" t="s">
        <v>14</v>
      </c>
      <c r="C17" s="55">
        <v>22</v>
      </c>
      <c r="D17" s="56">
        <v>2221677</v>
      </c>
      <c r="E17" s="57">
        <v>1.4E-2</v>
      </c>
      <c r="F17" s="56">
        <v>2406205</v>
      </c>
      <c r="G17" s="57">
        <v>1.4E-2</v>
      </c>
      <c r="H17" s="58" t="s">
        <v>32</v>
      </c>
      <c r="I17" s="57">
        <v>1.7000000000000001E-2</v>
      </c>
      <c r="J17" s="55"/>
      <c r="K17" s="55"/>
      <c r="L17" s="55"/>
      <c r="M17" s="55"/>
    </row>
    <row r="18" spans="1:13" x14ac:dyDescent="0.25">
      <c r="A18" s="66" t="s">
        <v>144</v>
      </c>
      <c r="B18" s="55" t="s">
        <v>18</v>
      </c>
      <c r="C18" s="55">
        <v>22</v>
      </c>
      <c r="D18" s="55" t="s">
        <v>63</v>
      </c>
      <c r="E18" s="55"/>
      <c r="F18" s="62" t="s">
        <v>64</v>
      </c>
      <c r="G18" s="57">
        <v>1.2999999999999999E-2</v>
      </c>
      <c r="H18" s="55"/>
      <c r="I18" s="55"/>
      <c r="J18" s="55"/>
      <c r="K18" s="55"/>
      <c r="L18" s="55"/>
      <c r="M18" s="55"/>
    </row>
    <row r="19" spans="1:13" x14ac:dyDescent="0.25">
      <c r="A19" s="66" t="s">
        <v>427</v>
      </c>
      <c r="B19" s="55" t="s">
        <v>25</v>
      </c>
      <c r="C19" s="55">
        <v>27</v>
      </c>
      <c r="D19" s="55" t="s">
        <v>63</v>
      </c>
      <c r="E19" s="55"/>
      <c r="F19" s="62" t="s">
        <v>64</v>
      </c>
      <c r="G19" s="57">
        <v>1.2999999999999999E-2</v>
      </c>
      <c r="H19" s="55"/>
      <c r="I19" s="55"/>
      <c r="J19" s="55"/>
      <c r="K19" s="55"/>
      <c r="L19" s="55"/>
      <c r="M19" s="55"/>
    </row>
    <row r="20" spans="1:13" x14ac:dyDescent="0.25">
      <c r="A20" s="66" t="s">
        <v>145</v>
      </c>
      <c r="B20" s="55" t="s">
        <v>29</v>
      </c>
      <c r="C20" s="55">
        <v>24</v>
      </c>
      <c r="D20" s="55" t="s">
        <v>63</v>
      </c>
      <c r="E20" s="55"/>
      <c r="F20" s="62" t="s">
        <v>64</v>
      </c>
      <c r="G20" s="57">
        <v>1.2999999999999999E-2</v>
      </c>
      <c r="H20" s="55"/>
      <c r="I20" s="55"/>
      <c r="J20" s="55"/>
      <c r="K20" s="55"/>
      <c r="L20" s="55"/>
      <c r="M20" s="55"/>
    </row>
    <row r="23" spans="1:13" x14ac:dyDescent="0.25">
      <c r="A23" s="76" t="s">
        <v>65</v>
      </c>
      <c r="B23" s="76"/>
      <c r="C23" s="76"/>
      <c r="D23" s="16">
        <f>SUM(D3:D17)</f>
        <v>176024107</v>
      </c>
      <c r="E23" s="29"/>
      <c r="F23" s="16">
        <f>SUM(F4,F7:F8,F10:F12,F17,F14:F15)</f>
        <v>92955470</v>
      </c>
      <c r="G23" s="17"/>
      <c r="H23" s="16">
        <f>SUM(H4,H7,H14:H15)</f>
        <v>56557043</v>
      </c>
      <c r="I23" s="17"/>
      <c r="J23" s="16">
        <f>SUM(J4,J15)</f>
        <v>33230464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176024107</v>
      </c>
      <c r="E24" s="17"/>
      <c r="F24" s="16">
        <f>F23+E31*6</f>
        <v>101363096</v>
      </c>
      <c r="G24" s="17"/>
      <c r="H24" s="16">
        <f>H23+E32*11</f>
        <v>73512422.099999994</v>
      </c>
      <c r="I24" s="17"/>
      <c r="J24" s="16">
        <f>J23+E33*13</f>
        <v>55272456.829999998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176024107</v>
      </c>
      <c r="E25" s="17"/>
      <c r="F25" s="16">
        <f>F23</f>
        <v>92955470</v>
      </c>
      <c r="G25" s="17"/>
      <c r="H25" s="16">
        <f>H23+H11+H12</f>
        <v>73320259</v>
      </c>
      <c r="I25" s="17"/>
      <c r="J25" s="16">
        <f>J23+J7</f>
        <v>51230464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-21377107</v>
      </c>
      <c r="E28" s="16"/>
      <c r="F28" s="16">
        <f>F26-F24</f>
        <v>63636904</v>
      </c>
      <c r="G28" s="16"/>
      <c r="H28" s="16">
        <f>H26-H24</f>
        <v>99737577.900000006</v>
      </c>
      <c r="I28" s="16"/>
      <c r="J28" s="16">
        <f>J26-J24</f>
        <v>126640543.17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11870893</v>
      </c>
      <c r="E29" s="16"/>
      <c r="F29" s="16">
        <f>F27-F24</f>
        <v>98636904</v>
      </c>
      <c r="G29" s="16"/>
      <c r="H29" s="16">
        <f>H27-H24</f>
        <v>136986577.90000001</v>
      </c>
      <c r="I29" s="16"/>
      <c r="J29" s="16">
        <f>J27-J24</f>
        <v>165751543.17000002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57C4-643B-410F-8ED7-389BB7410121}">
  <dimension ref="A1:T34"/>
  <sheetViews>
    <sheetView workbookViewId="0">
      <pane ySplit="2" topLeftCell="A3" activePane="bottomLeft" state="frozen"/>
      <selection pane="bottomLeft" activeCell="L26" sqref="L26"/>
    </sheetView>
  </sheetViews>
  <sheetFormatPr defaultRowHeight="15" x14ac:dyDescent="0.25"/>
  <cols>
    <col min="1" max="1" width="23.8554687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</cols>
  <sheetData>
    <row r="1" spans="1:20" x14ac:dyDescent="0.25">
      <c r="A1" s="83" t="s">
        <v>494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146</v>
      </c>
      <c r="B3" s="6" t="s">
        <v>10</v>
      </c>
      <c r="C3" s="6">
        <v>24</v>
      </c>
      <c r="D3" s="7">
        <v>46394100</v>
      </c>
      <c r="E3" s="38">
        <v>0.3</v>
      </c>
      <c r="F3" s="7">
        <v>50105628</v>
      </c>
      <c r="G3" s="38">
        <v>0.30199999999999999</v>
      </c>
      <c r="H3" s="7">
        <v>53817156</v>
      </c>
      <c r="I3" s="38">
        <v>0.309</v>
      </c>
      <c r="J3" s="7">
        <v>57528684</v>
      </c>
      <c r="K3" s="38">
        <v>0.314</v>
      </c>
      <c r="L3" s="7">
        <v>61240212</v>
      </c>
      <c r="M3" s="38">
        <v>0.31900000000000001</v>
      </c>
      <c r="O3" s="31" t="s">
        <v>484</v>
      </c>
    </row>
    <row r="4" spans="1:20" x14ac:dyDescent="0.25">
      <c r="A4" s="9" t="s">
        <v>147</v>
      </c>
      <c r="B4" s="6" t="s">
        <v>11</v>
      </c>
      <c r="C4" s="6">
        <v>29</v>
      </c>
      <c r="D4" s="7">
        <v>46394100</v>
      </c>
      <c r="E4" s="38">
        <v>0.3</v>
      </c>
      <c r="F4" s="7">
        <v>50105628</v>
      </c>
      <c r="G4" s="38">
        <v>0.30199999999999999</v>
      </c>
      <c r="H4" s="14">
        <v>53817156</v>
      </c>
      <c r="I4" s="39">
        <v>0.309</v>
      </c>
      <c r="J4" s="10" t="s">
        <v>148</v>
      </c>
      <c r="K4" s="40">
        <v>0.39400000000000002</v>
      </c>
      <c r="L4" s="6"/>
      <c r="M4" s="6"/>
      <c r="O4" s="32" t="s">
        <v>485</v>
      </c>
    </row>
    <row r="5" spans="1:20" x14ac:dyDescent="0.25">
      <c r="A5" s="9" t="s">
        <v>294</v>
      </c>
      <c r="B5" s="6" t="s">
        <v>11</v>
      </c>
      <c r="C5" s="6">
        <v>36</v>
      </c>
      <c r="D5" s="7">
        <v>39446090</v>
      </c>
      <c r="E5" s="38">
        <v>0.255</v>
      </c>
      <c r="F5" s="14">
        <v>42317307</v>
      </c>
      <c r="G5" s="39">
        <v>0.255</v>
      </c>
      <c r="H5" s="11" t="s">
        <v>436</v>
      </c>
      <c r="I5" s="40"/>
      <c r="J5" s="7"/>
      <c r="K5" s="38"/>
      <c r="L5" s="7"/>
      <c r="M5" s="38"/>
      <c r="O5" s="33" t="s">
        <v>486</v>
      </c>
    </row>
    <row r="6" spans="1:20" x14ac:dyDescent="0.25">
      <c r="A6" s="9" t="s">
        <v>151</v>
      </c>
      <c r="B6" s="6" t="s">
        <v>18</v>
      </c>
      <c r="C6" s="6">
        <v>27</v>
      </c>
      <c r="D6" s="7">
        <v>20000000</v>
      </c>
      <c r="E6" s="38">
        <v>0.129</v>
      </c>
      <c r="F6" s="7">
        <v>28000000</v>
      </c>
      <c r="G6" s="38">
        <v>0.16900000000000001</v>
      </c>
      <c r="H6" s="7">
        <v>30240000</v>
      </c>
      <c r="I6" s="38">
        <v>0.17299999999999999</v>
      </c>
      <c r="J6" s="7">
        <v>32480000</v>
      </c>
      <c r="K6" s="38">
        <v>0.17699999999999999</v>
      </c>
      <c r="L6" s="10" t="s">
        <v>152</v>
      </c>
      <c r="M6" s="40">
        <v>0.254</v>
      </c>
      <c r="O6" s="34" t="s">
        <v>487</v>
      </c>
    </row>
    <row r="7" spans="1:20" x14ac:dyDescent="0.25">
      <c r="A7" s="9" t="s">
        <v>153</v>
      </c>
      <c r="B7" s="6" t="s">
        <v>11</v>
      </c>
      <c r="C7" s="6">
        <v>29</v>
      </c>
      <c r="D7" s="7">
        <v>15936452</v>
      </c>
      <c r="E7" s="38">
        <v>0.10299999999999999</v>
      </c>
      <c r="F7" s="7">
        <v>16660836</v>
      </c>
      <c r="G7" s="38">
        <v>0.1</v>
      </c>
      <c r="H7" s="11" t="s">
        <v>154</v>
      </c>
      <c r="I7" s="40">
        <v>0.14299999999999999</v>
      </c>
      <c r="J7" s="7"/>
      <c r="K7" s="38"/>
      <c r="L7" s="6"/>
      <c r="M7" s="38"/>
    </row>
    <row r="8" spans="1:20" x14ac:dyDescent="0.25">
      <c r="A8" s="9" t="s">
        <v>434</v>
      </c>
      <c r="B8" s="6" t="s">
        <v>25</v>
      </c>
      <c r="C8" s="6">
        <v>32</v>
      </c>
      <c r="D8" s="7">
        <v>14104000</v>
      </c>
      <c r="E8" s="38">
        <v>9.0999999999999998E-2</v>
      </c>
      <c r="F8" s="7">
        <v>14809200</v>
      </c>
      <c r="G8" s="38">
        <v>8.8999999999999996E-2</v>
      </c>
      <c r="H8" s="7">
        <v>15514400</v>
      </c>
      <c r="I8" s="38">
        <v>8.8999999999999996E-2</v>
      </c>
      <c r="J8" s="10" t="s">
        <v>435</v>
      </c>
      <c r="K8" s="40">
        <v>0.127</v>
      </c>
      <c r="L8" s="6"/>
      <c r="M8" s="6"/>
    </row>
    <row r="9" spans="1:20" x14ac:dyDescent="0.25">
      <c r="A9" s="9" t="s">
        <v>156</v>
      </c>
      <c r="B9" s="6" t="s">
        <v>11</v>
      </c>
      <c r="C9" s="6">
        <v>29</v>
      </c>
      <c r="D9" s="7">
        <v>8482144</v>
      </c>
      <c r="E9" s="38">
        <v>5.5E-2</v>
      </c>
      <c r="F9" s="7">
        <v>9160715</v>
      </c>
      <c r="G9" s="38">
        <v>5.5E-2</v>
      </c>
      <c r="H9" s="7">
        <v>9839285</v>
      </c>
      <c r="I9" s="38">
        <v>5.6000000000000001E-2</v>
      </c>
      <c r="J9" s="7">
        <v>10517856</v>
      </c>
      <c r="K9" s="38">
        <v>5.7000000000000002E-2</v>
      </c>
      <c r="L9" s="10" t="s">
        <v>157</v>
      </c>
      <c r="M9" s="40">
        <v>0.104</v>
      </c>
      <c r="O9" s="2" t="s">
        <v>395</v>
      </c>
      <c r="P9" t="s">
        <v>25</v>
      </c>
      <c r="Q9" t="s">
        <v>11</v>
      </c>
      <c r="R9" t="s">
        <v>14</v>
      </c>
      <c r="S9" t="s">
        <v>10</v>
      </c>
      <c r="T9" t="s">
        <v>18</v>
      </c>
    </row>
    <row r="10" spans="1:20" x14ac:dyDescent="0.25">
      <c r="A10" s="9" t="s">
        <v>158</v>
      </c>
      <c r="B10" s="6" t="s">
        <v>10</v>
      </c>
      <c r="C10" s="6">
        <v>29</v>
      </c>
      <c r="D10" s="7">
        <v>6623456</v>
      </c>
      <c r="E10" s="38">
        <v>4.2999999999999997E-2</v>
      </c>
      <c r="F10" s="11" t="s">
        <v>159</v>
      </c>
      <c r="G10" s="40">
        <v>7.5999999999999998E-2</v>
      </c>
      <c r="H10" s="7"/>
      <c r="I10" s="38"/>
      <c r="J10" s="7"/>
      <c r="K10" s="38"/>
      <c r="L10" s="6"/>
      <c r="M10" s="38"/>
      <c r="O10" t="s">
        <v>488</v>
      </c>
      <c r="P10" s="9"/>
      <c r="Q10" s="9"/>
      <c r="R10" s="9"/>
      <c r="S10" s="9"/>
      <c r="T10" s="9"/>
    </row>
    <row r="11" spans="1:20" x14ac:dyDescent="0.25">
      <c r="A11" s="9" t="s">
        <v>160</v>
      </c>
      <c r="B11" s="6" t="s">
        <v>11</v>
      </c>
      <c r="C11" s="6">
        <v>23</v>
      </c>
      <c r="D11" s="7">
        <v>3492480</v>
      </c>
      <c r="E11" s="38">
        <v>2.3E-2</v>
      </c>
      <c r="F11" s="7">
        <v>3658560</v>
      </c>
      <c r="G11" s="38">
        <v>2.1999999999999999E-2</v>
      </c>
      <c r="H11" s="13">
        <v>5641500</v>
      </c>
      <c r="I11" s="41">
        <v>3.2000000000000001E-2</v>
      </c>
      <c r="J11" s="12" t="s">
        <v>161</v>
      </c>
      <c r="K11" s="42">
        <v>9.1999999999999998E-2</v>
      </c>
      <c r="L11" s="6"/>
      <c r="M11" s="6"/>
      <c r="O11" t="s">
        <v>489</v>
      </c>
      <c r="P11" s="9"/>
      <c r="Q11" s="9"/>
      <c r="R11" s="9"/>
      <c r="S11" s="9"/>
      <c r="T11" s="9"/>
    </row>
    <row r="12" spans="1:20" x14ac:dyDescent="0.25">
      <c r="A12" s="9" t="s">
        <v>432</v>
      </c>
      <c r="B12" s="6" t="s">
        <v>14</v>
      </c>
      <c r="C12" s="6">
        <v>26</v>
      </c>
      <c r="D12" s="7">
        <v>2301587</v>
      </c>
      <c r="E12" s="38">
        <v>1.4999999999999999E-2</v>
      </c>
      <c r="F12" s="11" t="s">
        <v>57</v>
      </c>
      <c r="G12" s="40">
        <v>1.4999999999999999E-2</v>
      </c>
      <c r="H12" s="7"/>
      <c r="I12" s="38"/>
      <c r="J12" s="7"/>
      <c r="K12" s="38"/>
      <c r="L12" s="6"/>
      <c r="M12" s="38"/>
      <c r="O12" t="s">
        <v>490</v>
      </c>
      <c r="P12" s="9"/>
      <c r="Q12" s="9"/>
      <c r="R12" s="9"/>
      <c r="S12" s="9"/>
      <c r="T12" s="9"/>
    </row>
    <row r="13" spans="1:20" x14ac:dyDescent="0.25">
      <c r="A13" s="9" t="s">
        <v>162</v>
      </c>
      <c r="B13" s="6" t="s">
        <v>18</v>
      </c>
      <c r="C13" s="6">
        <v>28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</row>
    <row r="14" spans="1:20" x14ac:dyDescent="0.25">
      <c r="A14" s="9" t="s">
        <v>35</v>
      </c>
      <c r="B14" s="6" t="s">
        <v>10</v>
      </c>
      <c r="C14" s="6">
        <v>33</v>
      </c>
      <c r="D14" s="7">
        <v>2296274</v>
      </c>
      <c r="E14" s="38">
        <v>1.4999999999999999E-2</v>
      </c>
      <c r="F14" s="11" t="s">
        <v>57</v>
      </c>
      <c r="G14" s="40">
        <v>1.4999999999999999E-2</v>
      </c>
      <c r="H14" s="7"/>
      <c r="I14" s="38"/>
      <c r="J14" s="6"/>
      <c r="K14" s="38"/>
      <c r="L14" s="6"/>
      <c r="M14" s="6"/>
    </row>
    <row r="15" spans="1:20" x14ac:dyDescent="0.25">
      <c r="A15" s="9" t="s">
        <v>163</v>
      </c>
      <c r="B15" s="6" t="s">
        <v>29</v>
      </c>
      <c r="C15" s="6">
        <v>25</v>
      </c>
      <c r="D15" s="7">
        <v>2221677</v>
      </c>
      <c r="E15" s="38">
        <v>1.4E-2</v>
      </c>
      <c r="F15" s="13">
        <v>2406205</v>
      </c>
      <c r="G15" s="41">
        <v>1.4E-2</v>
      </c>
      <c r="H15" s="10" t="s">
        <v>120</v>
      </c>
      <c r="I15" s="40">
        <v>1.7999999999999999E-2</v>
      </c>
      <c r="J15" s="6"/>
      <c r="K15" s="6"/>
      <c r="L15" s="6"/>
      <c r="M15" s="6"/>
    </row>
    <row r="16" spans="1:20" x14ac:dyDescent="0.25">
      <c r="A16" s="9" t="s">
        <v>164</v>
      </c>
      <c r="B16" s="6" t="s">
        <v>11</v>
      </c>
      <c r="C16" s="6">
        <v>21</v>
      </c>
      <c r="D16" s="7">
        <v>1272870</v>
      </c>
      <c r="E16" s="38">
        <v>8.0000000000000002E-3</v>
      </c>
      <c r="F16" s="7">
        <v>2150917</v>
      </c>
      <c r="G16" s="38">
        <v>1.2999999999999999E-2</v>
      </c>
      <c r="H16" s="7">
        <v>2525901</v>
      </c>
      <c r="I16" s="38">
        <v>1.4E-2</v>
      </c>
      <c r="J16" s="13">
        <v>2735698</v>
      </c>
      <c r="K16" s="41">
        <v>1.4999999999999999E-2</v>
      </c>
      <c r="L16" s="10" t="s">
        <v>32</v>
      </c>
      <c r="M16" s="40">
        <v>1.6E-2</v>
      </c>
    </row>
    <row r="17" spans="1:13" x14ac:dyDescent="0.25">
      <c r="A17" s="9" t="s">
        <v>429</v>
      </c>
      <c r="B17" s="6" t="s">
        <v>82</v>
      </c>
      <c r="C17" s="6">
        <v>25</v>
      </c>
      <c r="D17" s="7">
        <v>718150</v>
      </c>
      <c r="E17" s="38">
        <v>5.0000000000000001E-3</v>
      </c>
      <c r="F17" s="7">
        <v>2411090</v>
      </c>
      <c r="G17" s="38">
        <v>1.4999999999999999E-2</v>
      </c>
      <c r="H17" s="12" t="s">
        <v>430</v>
      </c>
      <c r="I17" s="42">
        <v>1.9E-2</v>
      </c>
      <c r="J17" s="6"/>
      <c r="K17" s="6"/>
      <c r="L17" s="6"/>
      <c r="M17" s="6"/>
    </row>
    <row r="18" spans="1:13" x14ac:dyDescent="0.25">
      <c r="A18" s="9" t="s">
        <v>433</v>
      </c>
      <c r="B18" s="6" t="s">
        <v>18</v>
      </c>
      <c r="C18" s="6">
        <v>26</v>
      </c>
      <c r="D18" s="7" t="s">
        <v>63</v>
      </c>
      <c r="E18" s="38"/>
      <c r="F18" s="42" t="s">
        <v>64</v>
      </c>
      <c r="G18" s="42">
        <v>1.2999999999999999E-2</v>
      </c>
      <c r="H18" s="6"/>
      <c r="I18" s="38"/>
      <c r="J18" s="6"/>
      <c r="K18" s="38"/>
      <c r="L18" s="6"/>
      <c r="M18" s="6"/>
    </row>
    <row r="19" spans="1:13" x14ac:dyDescent="0.25">
      <c r="A19" s="9" t="s">
        <v>431</v>
      </c>
      <c r="B19" s="6" t="s">
        <v>14</v>
      </c>
      <c r="C19" s="6">
        <v>25</v>
      </c>
      <c r="D19" s="7" t="s">
        <v>63</v>
      </c>
      <c r="E19" s="38"/>
      <c r="F19" s="38" t="s">
        <v>63</v>
      </c>
      <c r="G19" s="6"/>
      <c r="H19" s="12" t="s">
        <v>64</v>
      </c>
      <c r="I19" s="42">
        <v>1.2999999999999999E-2</v>
      </c>
      <c r="J19" s="6"/>
      <c r="K19" s="6"/>
      <c r="L19" s="6"/>
      <c r="M19" s="6"/>
    </row>
    <row r="20" spans="1:13" x14ac:dyDescent="0.25">
      <c r="A20" s="9" t="s">
        <v>428</v>
      </c>
      <c r="B20" s="6" t="s">
        <v>10</v>
      </c>
      <c r="C20" s="6">
        <v>24</v>
      </c>
      <c r="D20" s="7" t="s">
        <v>63</v>
      </c>
      <c r="E20" s="38"/>
      <c r="F20" s="38" t="s">
        <v>63</v>
      </c>
      <c r="G20" s="6"/>
      <c r="H20" s="12" t="s">
        <v>64</v>
      </c>
      <c r="I20" s="42">
        <v>1.2999999999999999E-2</v>
      </c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211979654</v>
      </c>
      <c r="E23" s="29"/>
      <c r="F23" s="16">
        <f>SUM(F3:F4,F6:F9,F11,F16:F17)</f>
        <v>177062574</v>
      </c>
      <c r="G23" s="17"/>
      <c r="H23" s="16">
        <f>SUM(H3,H6,H8:H9,H16)</f>
        <v>111936742</v>
      </c>
      <c r="I23" s="17"/>
      <c r="J23" s="16">
        <f>SUM(J3,J6,J9)</f>
        <v>100526540</v>
      </c>
      <c r="K23" s="17"/>
      <c r="L23" s="16">
        <f>SUM(L3)</f>
        <v>61240212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211979654</v>
      </c>
      <c r="E24" s="17"/>
      <c r="F24" s="16">
        <f>F23+E31*6</f>
        <v>185470200</v>
      </c>
      <c r="G24" s="17"/>
      <c r="H24" s="16">
        <f>H23+E32*10</f>
        <v>127350723</v>
      </c>
      <c r="I24" s="17"/>
      <c r="J24" s="16">
        <f>J23+E33*12</f>
        <v>120872994.92</v>
      </c>
      <c r="K24" s="16"/>
      <c r="L24" s="16">
        <f>L23+E34*14</f>
        <v>87351495.81400001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211979654</v>
      </c>
      <c r="E25" s="17"/>
      <c r="F25" s="16">
        <f>F23+F5+F15</f>
        <v>221786086</v>
      </c>
      <c r="G25" s="17"/>
      <c r="H25" s="16">
        <f>H23+H4+H11</f>
        <v>171395398</v>
      </c>
      <c r="I25" s="17"/>
      <c r="J25" s="16">
        <f>J23+J16</f>
        <v>103262238</v>
      </c>
      <c r="K25" s="17"/>
      <c r="L25" s="16">
        <f>L23</f>
        <v>61240212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-57332654</v>
      </c>
      <c r="E28" s="16"/>
      <c r="F28" s="16">
        <f>F26-F24</f>
        <v>-20470200</v>
      </c>
      <c r="G28" s="16"/>
      <c r="H28" s="16">
        <f>H26-H24</f>
        <v>45899277</v>
      </c>
      <c r="I28" s="16"/>
      <c r="J28" s="16">
        <f>J26-J24</f>
        <v>61040005.079999998</v>
      </c>
      <c r="K28" s="16"/>
      <c r="L28" s="16">
        <f>L26-L24</f>
        <v>103657504.18599999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-24084654</v>
      </c>
      <c r="E29" s="16"/>
      <c r="F29" s="16">
        <f>F27-F24</f>
        <v>14529800</v>
      </c>
      <c r="G29" s="16"/>
      <c r="H29" s="16">
        <f>H27-H24</f>
        <v>83148277</v>
      </c>
      <c r="I29" s="16"/>
      <c r="J29" s="16">
        <f>J27-J24</f>
        <v>100151005.08</v>
      </c>
      <c r="K29" s="16"/>
      <c r="L29" s="16">
        <f>L27-L24</f>
        <v>144724504.18599999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C726-8F65-4074-8867-05184662FFA9}">
  <dimension ref="A1:T34"/>
  <sheetViews>
    <sheetView workbookViewId="0">
      <pane ySplit="2" topLeftCell="A3" activePane="bottomLeft" state="frozen"/>
      <selection pane="bottomLeft" activeCell="R17" sqref="R17"/>
    </sheetView>
  </sheetViews>
  <sheetFormatPr defaultRowHeight="15" x14ac:dyDescent="0.25"/>
  <cols>
    <col min="1" max="1" width="17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3.7109375" bestFit="1" customWidth="1"/>
    <col min="12" max="12" width="13.7109375" bestFit="1" customWidth="1"/>
    <col min="15" max="15" width="13.28515625" bestFit="1" customWidth="1"/>
    <col min="16" max="16" width="11" bestFit="1" customWidth="1"/>
    <col min="17" max="17" width="15.28515625" bestFit="1" customWidth="1"/>
    <col min="18" max="18" width="12.7109375" bestFit="1" customWidth="1"/>
    <col min="19" max="19" width="14.140625" bestFit="1" customWidth="1"/>
    <col min="20" max="20" width="14.85546875" bestFit="1" customWidth="1"/>
  </cols>
  <sheetData>
    <row r="1" spans="1:20" x14ac:dyDescent="0.25">
      <c r="A1" s="83" t="s">
        <v>495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165</v>
      </c>
      <c r="B3" s="6" t="s">
        <v>25</v>
      </c>
      <c r="C3" s="6">
        <v>33</v>
      </c>
      <c r="D3" s="7">
        <v>36566002</v>
      </c>
      <c r="E3" s="38">
        <v>0.23599999999999999</v>
      </c>
      <c r="F3" s="7">
        <v>39491282</v>
      </c>
      <c r="G3" s="38">
        <v>0.23799999999999999</v>
      </c>
      <c r="H3" s="14">
        <v>42416562</v>
      </c>
      <c r="I3" s="39">
        <v>0.24299999999999999</v>
      </c>
      <c r="J3" s="10" t="s">
        <v>166</v>
      </c>
      <c r="K3" s="40">
        <v>0.34799999999999998</v>
      </c>
      <c r="L3" s="6"/>
      <c r="M3" s="6"/>
      <c r="O3" s="31" t="s">
        <v>484</v>
      </c>
    </row>
    <row r="4" spans="1:20" x14ac:dyDescent="0.25">
      <c r="A4" s="9" t="s">
        <v>437</v>
      </c>
      <c r="B4" s="6" t="s">
        <v>14</v>
      </c>
      <c r="C4" s="6">
        <v>34</v>
      </c>
      <c r="D4" s="7">
        <v>33296296</v>
      </c>
      <c r="E4" s="38">
        <v>0.215</v>
      </c>
      <c r="F4" s="11" t="s">
        <v>438</v>
      </c>
      <c r="G4" s="40">
        <v>0.307</v>
      </c>
      <c r="H4" s="7"/>
      <c r="I4" s="38"/>
      <c r="J4" s="6"/>
      <c r="K4" s="38"/>
      <c r="L4" s="6"/>
      <c r="M4" s="6"/>
      <c r="O4" s="32" t="s">
        <v>485</v>
      </c>
    </row>
    <row r="5" spans="1:20" x14ac:dyDescent="0.25">
      <c r="A5" s="9" t="s">
        <v>167</v>
      </c>
      <c r="B5" s="6" t="s">
        <v>11</v>
      </c>
      <c r="C5" s="6">
        <v>35</v>
      </c>
      <c r="D5" s="7">
        <v>16666667</v>
      </c>
      <c r="E5" s="38">
        <v>0.108</v>
      </c>
      <c r="F5" s="7">
        <v>17460317</v>
      </c>
      <c r="G5" s="38">
        <v>0.105</v>
      </c>
      <c r="H5" s="10" t="s">
        <v>168</v>
      </c>
      <c r="I5" s="40">
        <v>0.15</v>
      </c>
      <c r="J5" s="6"/>
      <c r="K5" s="6"/>
      <c r="L5" s="6"/>
      <c r="M5" s="6"/>
      <c r="O5" s="33" t="s">
        <v>486</v>
      </c>
    </row>
    <row r="6" spans="1:20" x14ac:dyDescent="0.25">
      <c r="A6" s="9" t="s">
        <v>169</v>
      </c>
      <c r="B6" s="6" t="s">
        <v>18</v>
      </c>
      <c r="C6" s="6">
        <v>27</v>
      </c>
      <c r="D6" s="7">
        <v>14386320</v>
      </c>
      <c r="E6" s="38">
        <v>9.2999999999999999E-2</v>
      </c>
      <c r="F6" s="7">
        <v>17263584</v>
      </c>
      <c r="G6" s="38">
        <v>0.104</v>
      </c>
      <c r="H6" s="7">
        <v>18126763</v>
      </c>
      <c r="I6" s="38">
        <v>0.104</v>
      </c>
      <c r="J6" s="7">
        <v>18989942</v>
      </c>
      <c r="K6" s="38">
        <v>0.104</v>
      </c>
      <c r="L6" s="10" t="s">
        <v>102</v>
      </c>
      <c r="M6" s="40">
        <v>0.14799999999999999</v>
      </c>
      <c r="O6" s="34" t="s">
        <v>487</v>
      </c>
    </row>
    <row r="7" spans="1:20" x14ac:dyDescent="0.25">
      <c r="A7" s="9" t="s">
        <v>439</v>
      </c>
      <c r="B7" s="6" t="s">
        <v>10</v>
      </c>
      <c r="C7" s="6">
        <v>27</v>
      </c>
      <c r="D7" s="7">
        <v>14152174</v>
      </c>
      <c r="E7" s="38">
        <v>9.1999999999999998E-2</v>
      </c>
      <c r="F7" s="7">
        <v>19813044</v>
      </c>
      <c r="G7" s="38">
        <v>0.11899999999999999</v>
      </c>
      <c r="H7" s="7">
        <v>21398087</v>
      </c>
      <c r="I7" s="38">
        <v>0.123</v>
      </c>
      <c r="J7" s="7">
        <v>22983132</v>
      </c>
      <c r="K7" s="38">
        <v>0.126</v>
      </c>
      <c r="L7" s="7">
        <v>24568176</v>
      </c>
      <c r="M7" s="38">
        <v>0.128</v>
      </c>
    </row>
    <row r="8" spans="1:20" x14ac:dyDescent="0.25">
      <c r="A8" s="9" t="s">
        <v>170</v>
      </c>
      <c r="B8" s="6" t="s">
        <v>14</v>
      </c>
      <c r="C8" s="6">
        <v>19</v>
      </c>
      <c r="D8" s="7">
        <v>13825920</v>
      </c>
      <c r="E8" s="38">
        <v>8.8999999999999996E-2</v>
      </c>
      <c r="F8" s="7">
        <v>14517480</v>
      </c>
      <c r="G8" s="38">
        <v>8.6999999999999994E-2</v>
      </c>
      <c r="H8" s="13">
        <v>15208680</v>
      </c>
      <c r="I8" s="41">
        <v>8.6999999999999994E-2</v>
      </c>
      <c r="J8" s="13">
        <v>19178146</v>
      </c>
      <c r="K8" s="41">
        <v>0.105</v>
      </c>
      <c r="L8" s="12" t="s">
        <v>171</v>
      </c>
      <c r="M8" s="42">
        <v>0.25</v>
      </c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172</v>
      </c>
      <c r="B9" s="6" t="s">
        <v>14</v>
      </c>
      <c r="C9" s="6">
        <v>30</v>
      </c>
      <c r="D9" s="7">
        <v>9594044</v>
      </c>
      <c r="E9" s="38">
        <v>6.2E-2</v>
      </c>
      <c r="F9" s="7">
        <v>10001494</v>
      </c>
      <c r="G9" s="38">
        <v>0.06</v>
      </c>
      <c r="H9" s="14">
        <v>9371351</v>
      </c>
      <c r="I9" s="39">
        <v>5.3999999999999999E-2</v>
      </c>
      <c r="J9" s="10" t="s">
        <v>173</v>
      </c>
      <c r="K9" s="40">
        <v>0.112</v>
      </c>
      <c r="L9" s="6"/>
      <c r="M9" s="6"/>
      <c r="O9" t="s">
        <v>488</v>
      </c>
      <c r="P9" s="9" t="s">
        <v>165</v>
      </c>
      <c r="Q9" s="9" t="s">
        <v>437</v>
      </c>
      <c r="R9" s="9" t="s">
        <v>170</v>
      </c>
      <c r="S9" s="9" t="s">
        <v>439</v>
      </c>
      <c r="T9" s="9" t="s">
        <v>169</v>
      </c>
    </row>
    <row r="10" spans="1:20" x14ac:dyDescent="0.25">
      <c r="A10" s="9" t="s">
        <v>174</v>
      </c>
      <c r="B10" s="6" t="s">
        <v>14</v>
      </c>
      <c r="C10" s="6">
        <v>28</v>
      </c>
      <c r="D10" s="7">
        <v>9000000</v>
      </c>
      <c r="E10" s="38">
        <v>5.8000000000000003E-2</v>
      </c>
      <c r="F10" s="7">
        <v>9428571</v>
      </c>
      <c r="G10" s="38">
        <v>5.7000000000000002E-2</v>
      </c>
      <c r="H10" s="10" t="s">
        <v>112</v>
      </c>
      <c r="I10" s="40">
        <v>0.10299999999999999</v>
      </c>
      <c r="J10" s="6"/>
      <c r="K10" s="6"/>
      <c r="L10" s="6"/>
      <c r="M10" s="6"/>
      <c r="O10" t="s">
        <v>489</v>
      </c>
      <c r="P10" s="9" t="s">
        <v>182</v>
      </c>
      <c r="Q10" s="9" t="s">
        <v>175</v>
      </c>
      <c r="R10" s="9" t="s">
        <v>174</v>
      </c>
      <c r="S10" s="9" t="s">
        <v>441</v>
      </c>
      <c r="T10" s="9" t="s">
        <v>178</v>
      </c>
    </row>
    <row r="11" spans="1:20" x14ac:dyDescent="0.25">
      <c r="A11" s="9" t="s">
        <v>175</v>
      </c>
      <c r="B11" s="6" t="s">
        <v>11</v>
      </c>
      <c r="C11" s="6">
        <v>22</v>
      </c>
      <c r="D11" s="7">
        <v>7714286</v>
      </c>
      <c r="E11" s="38">
        <v>0.05</v>
      </c>
      <c r="F11" s="7">
        <v>8285714</v>
      </c>
      <c r="G11" s="38">
        <v>0.05</v>
      </c>
      <c r="H11" s="14">
        <v>8857143</v>
      </c>
      <c r="I11" s="39">
        <v>5.0999999999999997E-2</v>
      </c>
      <c r="J11" s="10" t="s">
        <v>176</v>
      </c>
      <c r="K11" s="40">
        <v>9.1999999999999998E-2</v>
      </c>
      <c r="L11" s="6"/>
      <c r="M11" s="6"/>
      <c r="O11" t="s">
        <v>490</v>
      </c>
      <c r="P11" s="9" t="s">
        <v>183</v>
      </c>
      <c r="Q11" s="9" t="s">
        <v>167</v>
      </c>
      <c r="R11" s="9" t="s">
        <v>172</v>
      </c>
      <c r="S11" s="9" t="s">
        <v>184</v>
      </c>
      <c r="T11" s="9" t="s">
        <v>180</v>
      </c>
    </row>
    <row r="12" spans="1:20" x14ac:dyDescent="0.25">
      <c r="A12" s="9" t="s">
        <v>178</v>
      </c>
      <c r="B12" s="6" t="s">
        <v>18</v>
      </c>
      <c r="C12" s="6">
        <v>21</v>
      </c>
      <c r="D12" s="7">
        <v>5253360</v>
      </c>
      <c r="E12" s="38">
        <v>3.4000000000000002E-2</v>
      </c>
      <c r="F12" s="7">
        <v>7239131</v>
      </c>
      <c r="G12" s="38">
        <v>4.3999999999999997E-2</v>
      </c>
      <c r="H12" s="15" t="s">
        <v>179</v>
      </c>
      <c r="I12" s="42">
        <v>0.125</v>
      </c>
      <c r="J12" s="6"/>
      <c r="K12" s="38"/>
      <c r="L12" s="6"/>
      <c r="M12" s="6"/>
      <c r="P12" s="9" t="s">
        <v>440</v>
      </c>
      <c r="Q12" s="9" t="s">
        <v>443</v>
      </c>
      <c r="R12" s="9" t="s">
        <v>442</v>
      </c>
    </row>
    <row r="13" spans="1:20" x14ac:dyDescent="0.25">
      <c r="A13" s="9" t="s">
        <v>180</v>
      </c>
      <c r="B13" s="6" t="s">
        <v>18</v>
      </c>
      <c r="C13" s="6">
        <v>34</v>
      </c>
      <c r="D13" s="7">
        <v>4000000</v>
      </c>
      <c r="E13" s="38">
        <v>2.5999999999999999E-2</v>
      </c>
      <c r="F13" s="11" t="s">
        <v>181</v>
      </c>
      <c r="G13" s="40">
        <v>4.5999999999999999E-2</v>
      </c>
      <c r="H13" s="6"/>
      <c r="I13" s="38"/>
      <c r="J13" s="6"/>
      <c r="K13" s="6"/>
      <c r="L13" s="6"/>
      <c r="M13" s="6"/>
    </row>
    <row r="14" spans="1:20" x14ac:dyDescent="0.25">
      <c r="A14" s="9" t="s">
        <v>440</v>
      </c>
      <c r="B14" s="6" t="s">
        <v>25</v>
      </c>
      <c r="C14" s="6">
        <v>21</v>
      </c>
      <c r="D14" s="7">
        <v>3090480</v>
      </c>
      <c r="E14" s="38">
        <v>0.02</v>
      </c>
      <c r="F14" s="7">
        <v>3237120</v>
      </c>
      <c r="G14" s="38">
        <v>0.02</v>
      </c>
      <c r="H14" s="13">
        <v>5493394</v>
      </c>
      <c r="I14" s="41">
        <v>3.2000000000000001E-2</v>
      </c>
      <c r="J14" s="12" t="s">
        <v>118</v>
      </c>
      <c r="K14" s="42">
        <v>0.09</v>
      </c>
      <c r="L14" s="6"/>
      <c r="M14" s="6"/>
    </row>
    <row r="15" spans="1:20" x14ac:dyDescent="0.25">
      <c r="A15" s="9" t="s">
        <v>441</v>
      </c>
      <c r="B15" s="6" t="s">
        <v>10</v>
      </c>
      <c r="C15" s="6">
        <v>26</v>
      </c>
      <c r="D15" s="7">
        <v>2296274</v>
      </c>
      <c r="E15" s="38">
        <v>1.4999999999999999E-2</v>
      </c>
      <c r="F15" s="10" t="s">
        <v>57</v>
      </c>
      <c r="G15" s="40">
        <v>1.4999999999999999E-2</v>
      </c>
      <c r="H15" s="6"/>
      <c r="I15" s="6"/>
      <c r="J15" s="6"/>
      <c r="K15" s="6"/>
      <c r="L15" s="6"/>
      <c r="M15" s="6"/>
    </row>
    <row r="16" spans="1:20" x14ac:dyDescent="0.25">
      <c r="A16" s="9" t="s">
        <v>182</v>
      </c>
      <c r="B16" s="6" t="s">
        <v>25</v>
      </c>
      <c r="C16" s="6">
        <v>26</v>
      </c>
      <c r="D16" s="7">
        <v>2270735</v>
      </c>
      <c r="E16" s="38">
        <v>1.4999999999999999E-2</v>
      </c>
      <c r="F16" s="10" t="s">
        <v>57</v>
      </c>
      <c r="G16" s="40">
        <v>1.4999999999999999E-2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183</v>
      </c>
      <c r="B17" s="6" t="s">
        <v>25</v>
      </c>
      <c r="C17" s="6">
        <v>22</v>
      </c>
      <c r="D17" s="7">
        <v>321875</v>
      </c>
      <c r="E17" s="38">
        <v>2E-3</v>
      </c>
      <c r="F17" s="13">
        <v>2150917</v>
      </c>
      <c r="G17" s="41">
        <v>1.2999999999999999E-2</v>
      </c>
      <c r="H17" s="10" t="s">
        <v>61</v>
      </c>
      <c r="I17" s="40">
        <v>1.6E-2</v>
      </c>
      <c r="J17" s="6"/>
      <c r="K17" s="6"/>
      <c r="L17" s="6"/>
      <c r="M17" s="6"/>
    </row>
    <row r="18" spans="1:13" x14ac:dyDescent="0.25">
      <c r="A18" s="9" t="s">
        <v>442</v>
      </c>
      <c r="B18" s="6" t="s">
        <v>14</v>
      </c>
      <c r="C18" s="6">
        <v>21</v>
      </c>
      <c r="D18" s="6" t="s">
        <v>63</v>
      </c>
      <c r="E18" s="6"/>
      <c r="F18" s="6"/>
      <c r="G18" s="38" t="s">
        <v>63</v>
      </c>
      <c r="H18" s="6"/>
      <c r="I18" s="6"/>
      <c r="J18" s="12" t="s">
        <v>64</v>
      </c>
      <c r="K18" s="42">
        <v>1.2999999999999999E-2</v>
      </c>
      <c r="L18" s="6"/>
      <c r="M18" s="6"/>
    </row>
    <row r="19" spans="1:13" x14ac:dyDescent="0.25">
      <c r="A19" s="9" t="s">
        <v>443</v>
      </c>
      <c r="B19" s="6" t="s">
        <v>29</v>
      </c>
      <c r="C19" s="6">
        <v>22</v>
      </c>
      <c r="D19" s="6" t="s">
        <v>63</v>
      </c>
      <c r="E19" s="6"/>
      <c r="F19" s="6"/>
      <c r="G19" s="38" t="s">
        <v>63</v>
      </c>
      <c r="H19" s="6"/>
      <c r="I19" s="6"/>
      <c r="J19" s="12" t="s">
        <v>64</v>
      </c>
      <c r="K19" s="42">
        <v>1.2999999999999999E-2</v>
      </c>
      <c r="L19" s="6"/>
      <c r="M19" s="6"/>
    </row>
    <row r="20" spans="1:13" x14ac:dyDescent="0.25">
      <c r="A20" s="9" t="s">
        <v>184</v>
      </c>
      <c r="B20" s="6" t="s">
        <v>82</v>
      </c>
      <c r="C20" s="6">
        <v>23</v>
      </c>
      <c r="D20" s="6" t="s">
        <v>63</v>
      </c>
      <c r="E20" s="6"/>
      <c r="F20" s="42" t="s">
        <v>64</v>
      </c>
      <c r="G20" s="42">
        <v>1.2999999999999999E-2</v>
      </c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172434433</v>
      </c>
      <c r="E23" s="29"/>
      <c r="F23" s="16">
        <f>SUM(F3,F5:F12,F14)</f>
        <v>146737737</v>
      </c>
      <c r="G23" s="17"/>
      <c r="H23" s="16">
        <f>SUM(H6:H7)</f>
        <v>39524850</v>
      </c>
      <c r="I23" s="17"/>
      <c r="J23" s="16">
        <f>SUM(J6:J7)</f>
        <v>41973074</v>
      </c>
      <c r="K23" s="17"/>
      <c r="L23" s="16">
        <f>SUM(L7)</f>
        <v>24568176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172434433</v>
      </c>
      <c r="E24" s="17"/>
      <c r="F24" s="16">
        <f>F23+E31*5</f>
        <v>153744092</v>
      </c>
      <c r="G24" s="17"/>
      <c r="H24" s="16">
        <f>H23+E32*13</f>
        <v>59563025.299999997</v>
      </c>
      <c r="I24" s="17"/>
      <c r="J24" s="16">
        <f>J23+E33*13</f>
        <v>64015066.829999998</v>
      </c>
      <c r="K24" s="16"/>
      <c r="L24" s="16">
        <f>L23+E34*14</f>
        <v>50679459.814000003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172434433</v>
      </c>
      <c r="E25" s="17"/>
      <c r="F25" s="16">
        <f>F23+F17</f>
        <v>148888654</v>
      </c>
      <c r="G25" s="17"/>
      <c r="H25" s="16">
        <f>H23+H3+H8+H9+H11+H14</f>
        <v>120871980</v>
      </c>
      <c r="I25" s="17"/>
      <c r="J25" s="16">
        <f>J23+J8</f>
        <v>61151220</v>
      </c>
      <c r="K25" s="17"/>
      <c r="L25" s="16">
        <f>L23</f>
        <v>24568176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-17787433</v>
      </c>
      <c r="E28" s="16"/>
      <c r="F28" s="16">
        <f>F26-F24</f>
        <v>11255908</v>
      </c>
      <c r="G28" s="16"/>
      <c r="H28" s="16">
        <f>H26-H24</f>
        <v>113686974.7</v>
      </c>
      <c r="I28" s="16"/>
      <c r="J28" s="16">
        <f>J26-J24</f>
        <v>117897933.17</v>
      </c>
      <c r="K28" s="16"/>
      <c r="L28" s="16">
        <f>L26-L24</f>
        <v>140329540.18599999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15460567</v>
      </c>
      <c r="E29" s="16"/>
      <c r="F29" s="16">
        <f>F27-F24</f>
        <v>46255908</v>
      </c>
      <c r="G29" s="16"/>
      <c r="H29" s="16">
        <f>H27-H24</f>
        <v>150935974.69999999</v>
      </c>
      <c r="I29" s="16"/>
      <c r="J29" s="16">
        <f>J27-J24</f>
        <v>157008933.17000002</v>
      </c>
      <c r="K29" s="16"/>
      <c r="L29" s="16">
        <f>L27-L24</f>
        <v>181396540.18599999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FCC2-F24A-4417-B379-23C095709F0F}">
  <dimension ref="A1:T34"/>
  <sheetViews>
    <sheetView workbookViewId="0">
      <pane ySplit="2" topLeftCell="A3" activePane="bottomLeft" state="frozen"/>
      <selection pane="bottomLeft" activeCell="A22" sqref="A22"/>
    </sheetView>
  </sheetViews>
  <sheetFormatPr defaultRowHeight="15" x14ac:dyDescent="0.25"/>
  <cols>
    <col min="1" max="1" width="24.570312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2.7109375" bestFit="1" customWidth="1"/>
    <col min="17" max="17" width="16" bestFit="1" customWidth="1"/>
    <col min="18" max="18" width="17.42578125" bestFit="1" customWidth="1"/>
    <col min="19" max="19" width="16.140625" bestFit="1" customWidth="1"/>
    <col min="20" max="20" width="17.42578125" bestFit="1" customWidth="1"/>
  </cols>
  <sheetData>
    <row r="1" spans="1:20" x14ac:dyDescent="0.25">
      <c r="A1" s="75" t="s">
        <v>496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185</v>
      </c>
      <c r="B3" s="6" t="s">
        <v>18</v>
      </c>
      <c r="C3" s="6">
        <v>30</v>
      </c>
      <c r="D3" s="7">
        <v>55224526</v>
      </c>
      <c r="E3" s="38">
        <v>0.35699999999999998</v>
      </c>
      <c r="F3" s="7">
        <v>59033114</v>
      </c>
      <c r="G3" s="38">
        <v>0.35599999999999998</v>
      </c>
      <c r="H3" s="14">
        <v>62841702</v>
      </c>
      <c r="I3" s="39">
        <v>0.36099999999999999</v>
      </c>
      <c r="J3" s="10" t="s">
        <v>186</v>
      </c>
      <c r="K3" s="40">
        <v>0.39800000000000002</v>
      </c>
      <c r="L3" s="6"/>
      <c r="M3" s="6"/>
      <c r="O3" s="31" t="s">
        <v>484</v>
      </c>
    </row>
    <row r="4" spans="1:20" x14ac:dyDescent="0.25">
      <c r="A4" s="9" t="s">
        <v>187</v>
      </c>
      <c r="B4" s="6" t="s">
        <v>25</v>
      </c>
      <c r="C4" s="6">
        <v>28</v>
      </c>
      <c r="D4" s="7">
        <v>46394100</v>
      </c>
      <c r="E4" s="38">
        <v>0.3</v>
      </c>
      <c r="F4" s="7">
        <v>50105628</v>
      </c>
      <c r="G4" s="38">
        <v>0.30199999999999999</v>
      </c>
      <c r="H4" s="7">
        <v>53817156</v>
      </c>
      <c r="I4" s="38">
        <v>0.309</v>
      </c>
      <c r="J4" s="7">
        <v>57528684</v>
      </c>
      <c r="K4" s="38">
        <v>0.314</v>
      </c>
      <c r="L4" s="10" t="s">
        <v>46</v>
      </c>
      <c r="M4" s="40">
        <v>0.41199999999999998</v>
      </c>
      <c r="O4" s="32" t="s">
        <v>485</v>
      </c>
    </row>
    <row r="5" spans="1:20" x14ac:dyDescent="0.25">
      <c r="A5" s="9" t="s">
        <v>188</v>
      </c>
      <c r="B5" s="6" t="s">
        <v>10</v>
      </c>
      <c r="C5" s="6">
        <v>30</v>
      </c>
      <c r="D5" s="7">
        <v>22841455</v>
      </c>
      <c r="E5" s="38">
        <v>0.14799999999999999</v>
      </c>
      <c r="F5" s="7">
        <v>31978037</v>
      </c>
      <c r="G5" s="38">
        <v>0.193</v>
      </c>
      <c r="H5" s="7">
        <v>34536280</v>
      </c>
      <c r="I5" s="38">
        <v>0.19800000000000001</v>
      </c>
      <c r="J5" s="14">
        <v>37094523</v>
      </c>
      <c r="K5" s="39">
        <v>0.20200000000000001</v>
      </c>
      <c r="L5" s="10" t="s">
        <v>189</v>
      </c>
      <c r="M5" s="40">
        <v>0.28999999999999998</v>
      </c>
      <c r="O5" s="33" t="s">
        <v>486</v>
      </c>
    </row>
    <row r="6" spans="1:20" x14ac:dyDescent="0.25">
      <c r="A6" s="9" t="s">
        <v>190</v>
      </c>
      <c r="B6" s="6" t="s">
        <v>14</v>
      </c>
      <c r="C6" s="6">
        <v>29</v>
      </c>
      <c r="D6" s="7">
        <v>21057065</v>
      </c>
      <c r="E6" s="38">
        <v>0.13600000000000001</v>
      </c>
      <c r="F6" s="7">
        <v>23062500</v>
      </c>
      <c r="G6" s="38">
        <v>0.13900000000000001</v>
      </c>
      <c r="H6" s="10" t="s">
        <v>191</v>
      </c>
      <c r="I6" s="40">
        <v>0.19800000000000001</v>
      </c>
      <c r="J6" s="6"/>
      <c r="K6" s="6"/>
      <c r="L6" s="6"/>
      <c r="M6" s="6"/>
      <c r="O6" s="34" t="s">
        <v>487</v>
      </c>
    </row>
    <row r="7" spans="1:20" x14ac:dyDescent="0.25">
      <c r="A7" s="9" t="s">
        <v>192</v>
      </c>
      <c r="B7" s="6" t="s">
        <v>18</v>
      </c>
      <c r="C7" s="6">
        <v>33</v>
      </c>
      <c r="D7" s="7">
        <v>10395000</v>
      </c>
      <c r="E7" s="38">
        <v>6.7000000000000004E-2</v>
      </c>
      <c r="F7" s="7">
        <v>10000000</v>
      </c>
      <c r="G7" s="38">
        <v>0.06</v>
      </c>
      <c r="H7" s="10" t="s">
        <v>155</v>
      </c>
      <c r="I7" s="40">
        <v>0.109</v>
      </c>
      <c r="J7" s="6"/>
      <c r="K7" s="6"/>
      <c r="L7" s="6"/>
      <c r="M7" s="6"/>
    </row>
    <row r="8" spans="1:20" x14ac:dyDescent="0.25">
      <c r="A8" s="9" t="s">
        <v>193</v>
      </c>
      <c r="B8" s="6" t="s">
        <v>10</v>
      </c>
      <c r="C8" s="6">
        <v>25</v>
      </c>
      <c r="D8" s="7">
        <v>8177778</v>
      </c>
      <c r="E8" s="38">
        <v>5.2999999999999999E-2</v>
      </c>
      <c r="F8" s="7">
        <v>7466667</v>
      </c>
      <c r="G8" s="38">
        <v>4.4999999999999998E-2</v>
      </c>
      <c r="H8" s="14">
        <v>7466667</v>
      </c>
      <c r="I8" s="39">
        <v>4.2999999999999997E-2</v>
      </c>
      <c r="J8" s="10" t="s">
        <v>194</v>
      </c>
      <c r="K8" s="40">
        <v>7.8E-2</v>
      </c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195</v>
      </c>
      <c r="B9" s="6" t="s">
        <v>11</v>
      </c>
      <c r="C9" s="6">
        <v>24</v>
      </c>
      <c r="D9" s="7">
        <v>4921797</v>
      </c>
      <c r="E9" s="38">
        <v>3.2000000000000001E-2</v>
      </c>
      <c r="F9" s="7">
        <v>21551726</v>
      </c>
      <c r="G9" s="38">
        <v>0.13</v>
      </c>
      <c r="H9" s="7">
        <v>23275863</v>
      </c>
      <c r="I9" s="38">
        <v>0.13400000000000001</v>
      </c>
      <c r="J9" s="7">
        <v>25000000</v>
      </c>
      <c r="K9" s="38">
        <v>0.13700000000000001</v>
      </c>
      <c r="L9" s="7">
        <v>26724137</v>
      </c>
      <c r="M9" s="38">
        <v>0.13900000000000001</v>
      </c>
      <c r="O9" t="s">
        <v>488</v>
      </c>
      <c r="P9" s="9" t="s">
        <v>187</v>
      </c>
      <c r="Q9" s="9" t="s">
        <v>195</v>
      </c>
      <c r="R9" s="9" t="s">
        <v>190</v>
      </c>
      <c r="S9" s="9" t="s">
        <v>188</v>
      </c>
      <c r="T9" s="9" t="s">
        <v>185</v>
      </c>
    </row>
    <row r="10" spans="1:20" x14ac:dyDescent="0.25">
      <c r="A10" s="9" t="s">
        <v>196</v>
      </c>
      <c r="B10" s="6" t="s">
        <v>11</v>
      </c>
      <c r="C10" s="6">
        <v>23</v>
      </c>
      <c r="D10" s="7">
        <v>4356476</v>
      </c>
      <c r="E10" s="38">
        <v>2.8000000000000001E-2</v>
      </c>
      <c r="F10" s="12" t="s">
        <v>197</v>
      </c>
      <c r="G10" s="42">
        <v>7.9000000000000001E-2</v>
      </c>
      <c r="H10" s="6"/>
      <c r="I10" s="6"/>
      <c r="J10" s="6"/>
      <c r="K10" s="6"/>
      <c r="L10" s="6"/>
      <c r="M10" s="6"/>
      <c r="O10" t="s">
        <v>489</v>
      </c>
      <c r="P10" s="9" t="s">
        <v>203</v>
      </c>
      <c r="Q10" s="9" t="s">
        <v>201</v>
      </c>
      <c r="R10" s="9" t="s">
        <v>196</v>
      </c>
      <c r="S10" s="9" t="s">
        <v>193</v>
      </c>
      <c r="T10" s="9" t="s">
        <v>192</v>
      </c>
    </row>
    <row r="11" spans="1:20" x14ac:dyDescent="0.25">
      <c r="A11" s="9" t="s">
        <v>198</v>
      </c>
      <c r="B11" s="6" t="s">
        <v>10</v>
      </c>
      <c r="C11" s="6">
        <v>23</v>
      </c>
      <c r="D11" s="7">
        <v>3218760</v>
      </c>
      <c r="E11" s="38">
        <v>2.1000000000000001E-2</v>
      </c>
      <c r="F11" s="7">
        <v>3372120</v>
      </c>
      <c r="G11" s="38">
        <v>0.02</v>
      </c>
      <c r="H11" s="13">
        <v>5547138</v>
      </c>
      <c r="I11" s="41">
        <v>3.2000000000000001E-2</v>
      </c>
      <c r="J11" s="12" t="s">
        <v>54</v>
      </c>
      <c r="K11" s="42">
        <v>9.0999999999999998E-2</v>
      </c>
      <c r="L11" s="6"/>
      <c r="M11" s="6"/>
      <c r="O11" t="s">
        <v>490</v>
      </c>
      <c r="P11" s="9" t="s">
        <v>445</v>
      </c>
      <c r="Q11" s="9" t="s">
        <v>202</v>
      </c>
      <c r="R11" s="9" t="s">
        <v>199</v>
      </c>
      <c r="S11" s="9" t="s">
        <v>198</v>
      </c>
      <c r="T11" s="9"/>
    </row>
    <row r="12" spans="1:20" x14ac:dyDescent="0.25">
      <c r="A12" s="9" t="s">
        <v>199</v>
      </c>
      <c r="B12" s="6" t="s">
        <v>14</v>
      </c>
      <c r="C12" s="6">
        <v>23</v>
      </c>
      <c r="D12" s="7">
        <v>2674200</v>
      </c>
      <c r="E12" s="38">
        <v>1.7000000000000001E-2</v>
      </c>
      <c r="F12" s="7">
        <v>4826931</v>
      </c>
      <c r="G12" s="38">
        <v>2.9000000000000001E-2</v>
      </c>
      <c r="H12" s="12" t="s">
        <v>200</v>
      </c>
      <c r="I12" s="42">
        <v>8.3000000000000004E-2</v>
      </c>
      <c r="J12" s="6"/>
      <c r="K12" s="6"/>
      <c r="L12" s="6"/>
      <c r="M12" s="6"/>
      <c r="P12" s="9" t="s">
        <v>446</v>
      </c>
      <c r="Q12" s="9" t="s">
        <v>205</v>
      </c>
      <c r="R12" s="9" t="s">
        <v>204</v>
      </c>
      <c r="S12" s="9" t="s">
        <v>447</v>
      </c>
    </row>
    <row r="13" spans="1:20" x14ac:dyDescent="0.25">
      <c r="A13" s="9" t="s">
        <v>201</v>
      </c>
      <c r="B13" s="6" t="s">
        <v>11</v>
      </c>
      <c r="C13" s="6">
        <v>29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</row>
    <row r="14" spans="1:20" x14ac:dyDescent="0.25">
      <c r="A14" s="9" t="s">
        <v>202</v>
      </c>
      <c r="B14" s="6" t="s">
        <v>11</v>
      </c>
      <c r="C14" s="6">
        <v>33</v>
      </c>
      <c r="D14" s="7">
        <v>2296274</v>
      </c>
      <c r="E14" s="38">
        <v>1.4999999999999999E-2</v>
      </c>
      <c r="F14" s="10" t="s">
        <v>57</v>
      </c>
      <c r="G14" s="40">
        <v>1.4999999999999999E-2</v>
      </c>
      <c r="H14" s="6"/>
      <c r="I14" s="6"/>
      <c r="J14" s="6"/>
      <c r="K14" s="6"/>
      <c r="L14" s="6"/>
      <c r="M14" s="6"/>
    </row>
    <row r="15" spans="1:20" x14ac:dyDescent="0.25">
      <c r="A15" s="9" t="s">
        <v>203</v>
      </c>
      <c r="B15" s="6" t="s">
        <v>25</v>
      </c>
      <c r="C15" s="6">
        <v>26</v>
      </c>
      <c r="D15" s="7">
        <v>2221677</v>
      </c>
      <c r="E15" s="38">
        <v>1.4E-2</v>
      </c>
      <c r="F15" s="13">
        <v>2406205</v>
      </c>
      <c r="G15" s="41">
        <v>1.4E-2</v>
      </c>
      <c r="H15" s="10" t="s">
        <v>32</v>
      </c>
      <c r="I15" s="40">
        <v>1.7000000000000001E-2</v>
      </c>
      <c r="J15" s="6"/>
      <c r="K15" s="6"/>
      <c r="L15" s="6"/>
      <c r="M15" s="6"/>
    </row>
    <row r="16" spans="1:20" x14ac:dyDescent="0.25">
      <c r="A16" s="9" t="s">
        <v>204</v>
      </c>
      <c r="B16" s="6" t="s">
        <v>14</v>
      </c>
      <c r="C16" s="6">
        <v>24</v>
      </c>
      <c r="D16" s="7">
        <v>623967</v>
      </c>
      <c r="E16" s="38">
        <v>4.0000000000000001E-3</v>
      </c>
      <c r="F16" s="15" t="s">
        <v>444</v>
      </c>
      <c r="G16" s="42">
        <v>1.7000000000000001E-2</v>
      </c>
      <c r="H16" s="6"/>
      <c r="I16" s="38"/>
      <c r="J16" s="6"/>
      <c r="K16" s="6"/>
      <c r="L16" s="6"/>
      <c r="M16" s="6"/>
    </row>
    <row r="17" spans="1:13" x14ac:dyDescent="0.25">
      <c r="A17" s="9" t="s">
        <v>445</v>
      </c>
      <c r="B17" s="6" t="s">
        <v>25</v>
      </c>
      <c r="C17" s="6">
        <v>29</v>
      </c>
      <c r="D17" s="7">
        <v>514682</v>
      </c>
      <c r="E17" s="38">
        <v>3.0000000000000001E-3</v>
      </c>
      <c r="F17" s="10" t="s">
        <v>57</v>
      </c>
      <c r="G17" s="40">
        <v>1.4999999999999999E-2</v>
      </c>
      <c r="H17" s="6"/>
      <c r="I17" s="6"/>
      <c r="J17" s="6"/>
      <c r="K17" s="6"/>
      <c r="L17" s="6"/>
      <c r="M17" s="6"/>
    </row>
    <row r="18" spans="1:13" x14ac:dyDescent="0.25">
      <c r="A18" s="9" t="s">
        <v>446</v>
      </c>
      <c r="B18" s="6" t="s">
        <v>25</v>
      </c>
      <c r="C18" s="6">
        <v>23</v>
      </c>
      <c r="D18" s="6" t="s">
        <v>63</v>
      </c>
      <c r="E18" s="6"/>
      <c r="F18" s="38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447</v>
      </c>
      <c r="B19" s="6" t="s">
        <v>10</v>
      </c>
      <c r="C19" s="6">
        <v>24</v>
      </c>
      <c r="D19" s="6" t="s">
        <v>63</v>
      </c>
      <c r="E19" s="6"/>
      <c r="F19" s="4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205</v>
      </c>
      <c r="B20" s="6" t="s">
        <v>29</v>
      </c>
      <c r="C20" s="6">
        <v>24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187214031</v>
      </c>
      <c r="E23" s="29"/>
      <c r="F23" s="16">
        <f>SUM(F3:F9,F11:F12,)</f>
        <v>211396723</v>
      </c>
      <c r="G23" s="17"/>
      <c r="H23" s="16">
        <f>SUM(H4:H5,H9)</f>
        <v>111629299</v>
      </c>
      <c r="I23" s="17"/>
      <c r="J23" s="16">
        <f>SUM(J4,J9)</f>
        <v>82528684</v>
      </c>
      <c r="K23" s="17"/>
      <c r="L23" s="16">
        <f>SUM(L9)</f>
        <v>26724137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187214031</v>
      </c>
      <c r="E24" s="17"/>
      <c r="F24" s="16">
        <f>F23+E31*6</f>
        <v>219804349</v>
      </c>
      <c r="G24" s="17"/>
      <c r="H24" s="16">
        <f>H23+E32*10</f>
        <v>127043280</v>
      </c>
      <c r="I24" s="17"/>
      <c r="J24" s="16">
        <f>J23+E33*13</f>
        <v>104570676.83</v>
      </c>
      <c r="K24" s="16"/>
      <c r="L24" s="16">
        <f>L23+E34*14</f>
        <v>52835420.814000003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187214031</v>
      </c>
      <c r="E25" s="17"/>
      <c r="F25" s="16">
        <f>F23+F15</f>
        <v>213802928</v>
      </c>
      <c r="G25" s="17"/>
      <c r="H25" s="16">
        <f>H23+H3+H8+H11</f>
        <v>187484806</v>
      </c>
      <c r="I25" s="17"/>
      <c r="J25" s="16">
        <f>J23+J5</f>
        <v>119623207</v>
      </c>
      <c r="K25" s="17"/>
      <c r="L25" s="16">
        <f>L23</f>
        <v>26724137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-32567031</v>
      </c>
      <c r="E28" s="16"/>
      <c r="F28" s="16">
        <f>F26-F24</f>
        <v>-54804349</v>
      </c>
      <c r="G28" s="16"/>
      <c r="H28" s="16">
        <f>H26-H24</f>
        <v>46206720</v>
      </c>
      <c r="I28" s="16"/>
      <c r="J28" s="16">
        <f>J26-J24</f>
        <v>77342323.170000002</v>
      </c>
      <c r="K28" s="16"/>
      <c r="L28" s="16">
        <f>L26-L24</f>
        <v>138173579.18599999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680969</v>
      </c>
      <c r="E29" s="16"/>
      <c r="F29" s="16">
        <f>F27-F24</f>
        <v>-19804349</v>
      </c>
      <c r="G29" s="16"/>
      <c r="H29" s="16">
        <f>H27-H24</f>
        <v>83455720</v>
      </c>
      <c r="I29" s="16"/>
      <c r="J29" s="16">
        <f>J27-J24</f>
        <v>116453323.17</v>
      </c>
      <c r="K29" s="16"/>
      <c r="L29" s="16">
        <f>L27-L24</f>
        <v>179240579.18599999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CC6B-91B5-4A80-BF30-1439600A7F79}">
  <dimension ref="A1:T34"/>
  <sheetViews>
    <sheetView workbookViewId="0">
      <pane ySplit="2" topLeftCell="A3" activePane="bottomLeft" state="frozen"/>
      <selection pane="bottomLeft" activeCell="H24" sqref="H24"/>
    </sheetView>
  </sheetViews>
  <sheetFormatPr defaultRowHeight="15" x14ac:dyDescent="0.25"/>
  <cols>
    <col min="1" max="1" width="17.4257812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5" max="15" width="13.28515625" bestFit="1" customWidth="1"/>
    <col min="16" max="16" width="17.85546875" bestFit="1" customWidth="1"/>
    <col min="17" max="17" width="17" bestFit="1" customWidth="1"/>
    <col min="18" max="18" width="16" bestFit="1" customWidth="1"/>
    <col min="19" max="19" width="12.7109375" bestFit="1" customWidth="1"/>
    <col min="20" max="20" width="11.5703125" bestFit="1" customWidth="1"/>
  </cols>
  <sheetData>
    <row r="1" spans="1:20" x14ac:dyDescent="0.25">
      <c r="A1" s="83" t="s">
        <v>497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206</v>
      </c>
      <c r="B3" s="6" t="s">
        <v>25</v>
      </c>
      <c r="C3" s="6">
        <v>24</v>
      </c>
      <c r="D3" s="7">
        <v>46394100</v>
      </c>
      <c r="E3" s="38">
        <v>0.3</v>
      </c>
      <c r="F3" s="7">
        <v>50105628</v>
      </c>
      <c r="G3" s="38">
        <v>0.30199999999999999</v>
      </c>
      <c r="H3" s="7">
        <v>53817156</v>
      </c>
      <c r="I3" s="38">
        <v>0.309</v>
      </c>
      <c r="J3" s="7">
        <v>57528684</v>
      </c>
      <c r="K3" s="38">
        <v>0.314</v>
      </c>
      <c r="L3" s="7">
        <v>61240212</v>
      </c>
      <c r="M3" s="38">
        <v>0.31900000000000001</v>
      </c>
      <c r="O3" s="31" t="s">
        <v>484</v>
      </c>
    </row>
    <row r="4" spans="1:20" x14ac:dyDescent="0.25">
      <c r="A4" s="9" t="s">
        <v>207</v>
      </c>
      <c r="B4" s="6" t="s">
        <v>10</v>
      </c>
      <c r="C4" s="6">
        <v>33</v>
      </c>
      <c r="D4" s="7">
        <v>26634146</v>
      </c>
      <c r="E4" s="38">
        <v>0.17199999999999999</v>
      </c>
      <c r="F4" s="10" t="s">
        <v>208</v>
      </c>
      <c r="G4" s="40">
        <v>0.24099999999999999</v>
      </c>
      <c r="H4" s="6"/>
      <c r="I4" s="6"/>
      <c r="J4" s="6"/>
      <c r="K4" s="6"/>
      <c r="L4" s="6"/>
      <c r="M4" s="6"/>
      <c r="O4" s="32" t="s">
        <v>485</v>
      </c>
    </row>
    <row r="5" spans="1:20" x14ac:dyDescent="0.25">
      <c r="A5" s="9" t="s">
        <v>448</v>
      </c>
      <c r="B5" s="6" t="s">
        <v>11</v>
      </c>
      <c r="C5" s="6">
        <v>27</v>
      </c>
      <c r="D5" s="7">
        <v>17991071</v>
      </c>
      <c r="E5" s="38">
        <v>0.11600000000000001</v>
      </c>
      <c r="F5" s="11" t="s">
        <v>133</v>
      </c>
      <c r="G5" s="40">
        <v>0.16300000000000001</v>
      </c>
      <c r="H5" s="7"/>
      <c r="I5" s="38"/>
      <c r="J5" s="6"/>
      <c r="K5" s="38"/>
      <c r="L5" s="6"/>
      <c r="M5" s="6"/>
      <c r="O5" s="33" t="s">
        <v>486</v>
      </c>
    </row>
    <row r="6" spans="1:20" x14ac:dyDescent="0.25">
      <c r="A6" s="9" t="s">
        <v>209</v>
      </c>
      <c r="B6" s="6" t="s">
        <v>14</v>
      </c>
      <c r="C6" s="6">
        <v>31</v>
      </c>
      <c r="D6" s="7">
        <v>16834692</v>
      </c>
      <c r="E6" s="38">
        <v>0.109</v>
      </c>
      <c r="F6" s="7">
        <v>15992957</v>
      </c>
      <c r="G6" s="38">
        <v>9.6000000000000002E-2</v>
      </c>
      <c r="H6" s="7">
        <v>15151222</v>
      </c>
      <c r="I6" s="38">
        <v>8.6999999999999994E-2</v>
      </c>
      <c r="J6" s="10" t="s">
        <v>210</v>
      </c>
      <c r="K6" s="40">
        <v>0.124</v>
      </c>
      <c r="L6" s="6"/>
      <c r="M6" s="6"/>
      <c r="O6" s="34" t="s">
        <v>487</v>
      </c>
    </row>
    <row r="7" spans="1:20" x14ac:dyDescent="0.25">
      <c r="A7" s="9" t="s">
        <v>211</v>
      </c>
      <c r="B7" s="6" t="s">
        <v>18</v>
      </c>
      <c r="C7" s="6">
        <v>24</v>
      </c>
      <c r="D7" s="7">
        <v>15000000</v>
      </c>
      <c r="E7" s="38">
        <v>9.7000000000000003E-2</v>
      </c>
      <c r="F7" s="7">
        <v>15000000</v>
      </c>
      <c r="G7" s="38">
        <v>0.09</v>
      </c>
      <c r="H7" s="13">
        <v>15000000</v>
      </c>
      <c r="I7" s="41">
        <v>8.5999999999999993E-2</v>
      </c>
      <c r="J7" s="10" t="s">
        <v>212</v>
      </c>
      <c r="K7" s="40">
        <v>0.14499999999999999</v>
      </c>
      <c r="L7" s="6"/>
      <c r="M7" s="6"/>
    </row>
    <row r="8" spans="1:20" x14ac:dyDescent="0.25">
      <c r="A8" s="9" t="s">
        <v>34</v>
      </c>
      <c r="B8" s="6" t="s">
        <v>11</v>
      </c>
      <c r="C8" s="6">
        <v>31</v>
      </c>
      <c r="D8" s="7">
        <v>14104000</v>
      </c>
      <c r="E8" s="38">
        <v>9.0999999999999998E-2</v>
      </c>
      <c r="F8" s="7">
        <v>14809200</v>
      </c>
      <c r="G8" s="38">
        <v>8.8999999999999996E-2</v>
      </c>
      <c r="H8" s="10" t="s">
        <v>213</v>
      </c>
      <c r="I8" s="40">
        <v>0.11</v>
      </c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216</v>
      </c>
      <c r="B9" s="6" t="s">
        <v>11</v>
      </c>
      <c r="C9" s="6">
        <v>23</v>
      </c>
      <c r="D9" s="7">
        <v>8775000</v>
      </c>
      <c r="E9" s="38">
        <v>5.7000000000000002E-2</v>
      </c>
      <c r="F9" s="7">
        <v>11117925</v>
      </c>
      <c r="G9" s="38">
        <v>6.7000000000000004E-2</v>
      </c>
      <c r="H9" s="12" t="s">
        <v>449</v>
      </c>
      <c r="I9" s="42">
        <v>0.191</v>
      </c>
      <c r="J9" s="6"/>
      <c r="K9" s="6"/>
      <c r="L9" s="6"/>
      <c r="M9" s="6"/>
      <c r="O9" t="s">
        <v>488</v>
      </c>
      <c r="P9" s="9" t="s">
        <v>206</v>
      </c>
      <c r="Q9" s="9" t="s">
        <v>209</v>
      </c>
      <c r="R9" s="9" t="s">
        <v>216</v>
      </c>
      <c r="S9" s="9" t="s">
        <v>207</v>
      </c>
      <c r="T9" s="9" t="s">
        <v>219</v>
      </c>
    </row>
    <row r="10" spans="1:20" x14ac:dyDescent="0.25">
      <c r="A10" s="9" t="s">
        <v>217</v>
      </c>
      <c r="B10" s="6" t="s">
        <v>14</v>
      </c>
      <c r="C10" s="6">
        <v>20</v>
      </c>
      <c r="D10" s="7">
        <v>8657280</v>
      </c>
      <c r="E10" s="38">
        <v>5.6000000000000001E-2</v>
      </c>
      <c r="F10" s="7">
        <v>9069600</v>
      </c>
      <c r="G10" s="38">
        <v>5.5E-2</v>
      </c>
      <c r="H10" s="13">
        <v>11491183</v>
      </c>
      <c r="I10" s="41">
        <v>6.6000000000000003E-2</v>
      </c>
      <c r="J10" s="12" t="s">
        <v>218</v>
      </c>
      <c r="K10" s="42">
        <v>0.188</v>
      </c>
      <c r="L10" s="6"/>
      <c r="M10" s="6"/>
      <c r="O10" t="s">
        <v>489</v>
      </c>
      <c r="P10" s="9" t="s">
        <v>229</v>
      </c>
      <c r="Q10" s="9" t="s">
        <v>34</v>
      </c>
      <c r="R10" s="9" t="s">
        <v>448</v>
      </c>
      <c r="S10" s="9" t="s">
        <v>217</v>
      </c>
      <c r="T10" s="9" t="s">
        <v>211</v>
      </c>
    </row>
    <row r="11" spans="1:20" x14ac:dyDescent="0.25">
      <c r="A11" s="9" t="s">
        <v>219</v>
      </c>
      <c r="B11" s="6" t="s">
        <v>18</v>
      </c>
      <c r="C11" s="6">
        <v>22</v>
      </c>
      <c r="D11" s="7">
        <v>6483144</v>
      </c>
      <c r="E11" s="38">
        <v>4.2000000000000003E-2</v>
      </c>
      <c r="F11" s="12" t="s">
        <v>84</v>
      </c>
      <c r="G11" s="42">
        <v>0.11700000000000001</v>
      </c>
      <c r="H11" s="6"/>
      <c r="I11" s="6"/>
      <c r="J11" s="6"/>
      <c r="K11" s="6"/>
      <c r="L11" s="6"/>
      <c r="M11" s="6"/>
      <c r="O11" t="s">
        <v>490</v>
      </c>
      <c r="P11" s="9" t="s">
        <v>221</v>
      </c>
      <c r="Q11" s="9" t="s">
        <v>451</v>
      </c>
      <c r="R11" s="9" t="s">
        <v>226</v>
      </c>
      <c r="S11" s="9" t="s">
        <v>227</v>
      </c>
      <c r="T11" s="9" t="s">
        <v>220</v>
      </c>
    </row>
    <row r="12" spans="1:20" x14ac:dyDescent="0.25">
      <c r="A12" s="9" t="s">
        <v>220</v>
      </c>
      <c r="B12" s="6" t="s">
        <v>18</v>
      </c>
      <c r="C12" s="6">
        <v>26</v>
      </c>
      <c r="D12" s="7">
        <v>5335894</v>
      </c>
      <c r="E12" s="38">
        <v>3.5000000000000003E-2</v>
      </c>
      <c r="F12" s="7">
        <v>5602689</v>
      </c>
      <c r="G12" s="38">
        <v>3.4000000000000002E-2</v>
      </c>
      <c r="H12" s="10" t="s">
        <v>176</v>
      </c>
      <c r="I12" s="40">
        <v>9.6000000000000002E-2</v>
      </c>
      <c r="J12" s="6"/>
      <c r="K12" s="6"/>
      <c r="L12" s="6"/>
      <c r="M12" s="6"/>
      <c r="Q12" s="9" t="s">
        <v>228</v>
      </c>
      <c r="T12" s="9" t="s">
        <v>224</v>
      </c>
    </row>
    <row r="13" spans="1:20" x14ac:dyDescent="0.25">
      <c r="A13" s="9" t="s">
        <v>229</v>
      </c>
      <c r="B13" s="6" t="s">
        <v>29</v>
      </c>
      <c r="C13" s="6">
        <v>24</v>
      </c>
      <c r="D13" s="7">
        <v>3809524</v>
      </c>
      <c r="E13" s="38">
        <v>2.5000000000000001E-2</v>
      </c>
      <c r="F13" s="13">
        <v>4000000</v>
      </c>
      <c r="G13" s="41">
        <v>2.4E-2</v>
      </c>
      <c r="H13" s="12" t="s">
        <v>450</v>
      </c>
      <c r="I13" s="42">
        <v>3.1E-2</v>
      </c>
      <c r="J13" s="6"/>
      <c r="K13" s="6"/>
      <c r="L13" s="6"/>
      <c r="M13" s="6"/>
    </row>
    <row r="14" spans="1:20" x14ac:dyDescent="0.25">
      <c r="A14" s="9" t="s">
        <v>221</v>
      </c>
      <c r="B14" s="6" t="s">
        <v>25</v>
      </c>
      <c r="C14" s="6">
        <v>25</v>
      </c>
      <c r="D14" s="7">
        <v>2886720</v>
      </c>
      <c r="E14" s="38">
        <v>1.9E-2</v>
      </c>
      <c r="F14" s="7">
        <v>5198983</v>
      </c>
      <c r="G14" s="38">
        <v>3.1E-2</v>
      </c>
      <c r="H14" s="12" t="s">
        <v>222</v>
      </c>
      <c r="I14" s="42">
        <v>8.8999999999999996E-2</v>
      </c>
      <c r="J14" s="6"/>
      <c r="K14" s="6"/>
      <c r="L14" s="6"/>
      <c r="M14" s="6"/>
    </row>
    <row r="15" spans="1:20" x14ac:dyDescent="0.25">
      <c r="A15" s="9" t="s">
        <v>451</v>
      </c>
      <c r="B15" s="6" t="s">
        <v>11</v>
      </c>
      <c r="C15" s="6">
        <v>32</v>
      </c>
      <c r="D15" s="7">
        <v>2296274</v>
      </c>
      <c r="E15" s="38">
        <v>1.4999999999999999E-2</v>
      </c>
      <c r="F15" s="11" t="s">
        <v>57</v>
      </c>
      <c r="G15" s="40">
        <v>1.4999999999999999E-2</v>
      </c>
      <c r="H15" s="7"/>
      <c r="I15" s="38"/>
      <c r="J15" s="6"/>
      <c r="K15" s="38"/>
      <c r="L15" s="6"/>
      <c r="M15" s="6"/>
    </row>
    <row r="16" spans="1:20" x14ac:dyDescent="0.25">
      <c r="A16" s="9" t="s">
        <v>223</v>
      </c>
      <c r="B16" s="6" t="s">
        <v>14</v>
      </c>
      <c r="C16" s="6">
        <v>22</v>
      </c>
      <c r="D16" s="7">
        <v>1955377</v>
      </c>
      <c r="E16" s="38">
        <v>1.2999999999999999E-2</v>
      </c>
      <c r="F16" s="7">
        <v>2296271</v>
      </c>
      <c r="G16" s="38">
        <v>1.4E-2</v>
      </c>
      <c r="H16" s="13">
        <v>2486995</v>
      </c>
      <c r="I16" s="41">
        <v>1.4E-2</v>
      </c>
      <c r="J16" s="10" t="s">
        <v>120</v>
      </c>
      <c r="K16" s="40">
        <v>1.7000000000000001E-2</v>
      </c>
      <c r="L16" s="6"/>
      <c r="M16" s="6"/>
    </row>
    <row r="17" spans="1:13" x14ac:dyDescent="0.25">
      <c r="A17" s="9" t="s">
        <v>226</v>
      </c>
      <c r="B17" s="6" t="s">
        <v>11</v>
      </c>
      <c r="C17" s="6">
        <v>24</v>
      </c>
      <c r="D17" s="7">
        <v>1272870</v>
      </c>
      <c r="E17" s="38">
        <v>8.0000000000000002E-3</v>
      </c>
      <c r="F17" s="7">
        <v>2150917</v>
      </c>
      <c r="G17" s="38">
        <v>1.2999999999999999E-2</v>
      </c>
      <c r="H17" s="7">
        <v>2525901</v>
      </c>
      <c r="I17" s="38">
        <v>1.4E-2</v>
      </c>
      <c r="J17" s="13">
        <v>2735698</v>
      </c>
      <c r="K17" s="41">
        <v>1.4999999999999999E-2</v>
      </c>
      <c r="L17" s="10" t="s">
        <v>32</v>
      </c>
      <c r="M17" s="40">
        <v>1.6E-2</v>
      </c>
    </row>
    <row r="18" spans="1:13" x14ac:dyDescent="0.25">
      <c r="A18" s="9" t="s">
        <v>227</v>
      </c>
      <c r="B18" s="6" t="s">
        <v>82</v>
      </c>
      <c r="C18" s="6">
        <v>25</v>
      </c>
      <c r="D18" s="6" t="s">
        <v>63</v>
      </c>
      <c r="E18" s="6"/>
      <c r="F18" s="4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228</v>
      </c>
      <c r="B19" s="6" t="s">
        <v>11</v>
      </c>
      <c r="C19" s="6">
        <v>24</v>
      </c>
      <c r="D19" s="6" t="s">
        <v>63</v>
      </c>
      <c r="E19" s="6"/>
      <c r="F19" s="4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224</v>
      </c>
      <c r="B20" s="6" t="s">
        <v>18</v>
      </c>
      <c r="C20" s="6">
        <v>25</v>
      </c>
      <c r="D20" s="6" t="s">
        <v>63</v>
      </c>
      <c r="E20" s="6"/>
      <c r="F20" s="38" t="s">
        <v>63</v>
      </c>
      <c r="G20" s="6"/>
      <c r="H20" s="12" t="s">
        <v>64</v>
      </c>
      <c r="I20" s="42">
        <v>1.2999999999999999E-2</v>
      </c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178430092</v>
      </c>
      <c r="E23" s="29"/>
      <c r="F23" s="16">
        <f>SUM(F3,F6:F10,F12,F14,F16:F17)</f>
        <v>131344170</v>
      </c>
      <c r="G23" s="17"/>
      <c r="H23" s="16">
        <f>SUM(H3,H6,H17)</f>
        <v>71494279</v>
      </c>
      <c r="I23" s="17"/>
      <c r="J23" s="16">
        <f>SUM(J4,J12)</f>
        <v>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178430092</v>
      </c>
      <c r="E24" s="17"/>
      <c r="F24" s="16">
        <f>F23+E31*5</f>
        <v>138350525</v>
      </c>
      <c r="G24" s="17"/>
      <c r="H24" s="16">
        <f>H23+E32*10</f>
        <v>86908260</v>
      </c>
      <c r="I24" s="17"/>
      <c r="J24" s="16">
        <f>J23+E33*13</f>
        <v>22041992.830000002</v>
      </c>
      <c r="K24" s="16"/>
      <c r="L24" s="16">
        <f>L23+E34*13</f>
        <v>24246192.113000005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178430092</v>
      </c>
      <c r="E25" s="17"/>
      <c r="F25" s="16">
        <f>F23+F13</f>
        <v>135344170</v>
      </c>
      <c r="G25" s="17"/>
      <c r="H25" s="16" t="e">
        <f>H23+H9+H11+H13+H17</f>
        <v>#VALUE!</v>
      </c>
      <c r="I25" s="17"/>
      <c r="J25" s="16" t="e">
        <f>J23+J6+J8+J13</f>
        <v>#VALUE!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-23783092</v>
      </c>
      <c r="E28" s="16"/>
      <c r="F28" s="16">
        <f>F26-F24</f>
        <v>26649475</v>
      </c>
      <c r="G28" s="16"/>
      <c r="H28" s="16">
        <f>H26-H24</f>
        <v>86341740</v>
      </c>
      <c r="I28" s="16"/>
      <c r="J28" s="16">
        <f>J26-J24</f>
        <v>159871007.16999999</v>
      </c>
      <c r="K28" s="16"/>
      <c r="L28" s="16">
        <f>L26-L24</f>
        <v>166762807.88699999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9464908</v>
      </c>
      <c r="E29" s="16"/>
      <c r="F29" s="16">
        <f>F27-F24</f>
        <v>61649475</v>
      </c>
      <c r="G29" s="16"/>
      <c r="H29" s="16">
        <f>H27-H24</f>
        <v>123590740</v>
      </c>
      <c r="I29" s="16"/>
      <c r="J29" s="16">
        <f>J27-J24</f>
        <v>198982007.16999999</v>
      </c>
      <c r="K29" s="16"/>
      <c r="L29" s="16">
        <f>L27-L24</f>
        <v>207829807.88699999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EF86-FEBF-4681-AB88-1A4B3D965D84}">
  <dimension ref="A1:T33"/>
  <sheetViews>
    <sheetView tabSelected="1" workbookViewId="0">
      <pane ySplit="2" topLeftCell="A3" activePane="bottomLeft" state="frozen"/>
      <selection pane="bottomLeft" activeCell="S16" sqref="S16"/>
    </sheetView>
  </sheetViews>
  <sheetFormatPr defaultRowHeight="15" x14ac:dyDescent="0.25"/>
  <cols>
    <col min="1" max="1" width="23.710937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3.7109375" bestFit="1" customWidth="1"/>
    <col min="12" max="12" width="13.7109375" bestFit="1" customWidth="1"/>
    <col min="15" max="15" width="13.28515625" bestFit="1" customWidth="1"/>
    <col min="16" max="16" width="14.140625" bestFit="1" customWidth="1"/>
    <col min="17" max="17" width="18.85546875" bestFit="1" customWidth="1"/>
    <col min="18" max="18" width="12.5703125" bestFit="1" customWidth="1"/>
    <col min="19" max="19" width="16.42578125" bestFit="1" customWidth="1"/>
    <col min="20" max="20" width="17" bestFit="1" customWidth="1"/>
  </cols>
  <sheetData>
    <row r="1" spans="1:20" x14ac:dyDescent="0.25">
      <c r="A1" s="75" t="s">
        <v>498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230</v>
      </c>
      <c r="B3" s="6" t="s">
        <v>25</v>
      </c>
      <c r="C3" s="6">
        <v>37</v>
      </c>
      <c r="D3" s="7">
        <v>59606817</v>
      </c>
      <c r="E3" s="38">
        <v>0.38500000000000001</v>
      </c>
      <c r="F3" s="7">
        <v>62587158</v>
      </c>
      <c r="G3" s="38">
        <v>0.377</v>
      </c>
      <c r="H3" s="10" t="s">
        <v>231</v>
      </c>
      <c r="I3" s="40">
        <v>0.377</v>
      </c>
      <c r="J3" s="6"/>
      <c r="K3" s="6"/>
      <c r="L3" s="6"/>
      <c r="M3" s="6"/>
      <c r="O3" s="31" t="s">
        <v>484</v>
      </c>
    </row>
    <row r="4" spans="1:20" x14ac:dyDescent="0.25">
      <c r="A4" s="9" t="s">
        <v>232</v>
      </c>
      <c r="B4" s="6" t="s">
        <v>14</v>
      </c>
      <c r="C4" s="6">
        <v>36</v>
      </c>
      <c r="D4" s="7">
        <v>54126450</v>
      </c>
      <c r="E4" s="38">
        <v>0.35</v>
      </c>
      <c r="F4" s="7">
        <v>56832773</v>
      </c>
      <c r="G4" s="38">
        <v>0.34200000000000003</v>
      </c>
      <c r="H4" s="10" t="s">
        <v>233</v>
      </c>
      <c r="I4" s="40">
        <v>0.376</v>
      </c>
      <c r="J4" s="6"/>
      <c r="K4" s="6"/>
      <c r="L4" s="6"/>
      <c r="M4" s="6"/>
      <c r="O4" s="32" t="s">
        <v>485</v>
      </c>
    </row>
    <row r="5" spans="1:20" x14ac:dyDescent="0.25">
      <c r="A5" s="9" t="s">
        <v>9</v>
      </c>
      <c r="B5" s="6" t="s">
        <v>10</v>
      </c>
      <c r="C5" s="6">
        <v>30</v>
      </c>
      <c r="D5" s="7">
        <v>30731707</v>
      </c>
      <c r="E5" s="38">
        <v>0.19900000000000001</v>
      </c>
      <c r="F5" s="11" t="s">
        <v>452</v>
      </c>
      <c r="G5" s="40">
        <v>0.27800000000000002</v>
      </c>
      <c r="H5" s="6"/>
      <c r="I5" s="38"/>
      <c r="J5" s="6"/>
      <c r="K5" s="6"/>
      <c r="L5" s="6"/>
      <c r="M5" s="6"/>
      <c r="O5" s="33" t="s">
        <v>486</v>
      </c>
    </row>
    <row r="6" spans="1:20" x14ac:dyDescent="0.25">
      <c r="A6" s="9" t="s">
        <v>234</v>
      </c>
      <c r="B6" s="6" t="s">
        <v>10</v>
      </c>
      <c r="C6" s="6">
        <v>35</v>
      </c>
      <c r="D6" s="7">
        <v>25892857</v>
      </c>
      <c r="E6" s="38">
        <v>0.16700000000000001</v>
      </c>
      <c r="F6" s="14">
        <v>27678571</v>
      </c>
      <c r="G6" s="39">
        <v>0.16700000000000001</v>
      </c>
      <c r="H6" s="10" t="s">
        <v>49</v>
      </c>
      <c r="I6" s="40">
        <v>0.23799999999999999</v>
      </c>
      <c r="J6" s="6"/>
      <c r="K6" s="6"/>
      <c r="L6" s="6"/>
      <c r="M6" s="6"/>
      <c r="O6" s="34" t="s">
        <v>487</v>
      </c>
    </row>
    <row r="7" spans="1:20" x14ac:dyDescent="0.25">
      <c r="A7" s="9" t="s">
        <v>237</v>
      </c>
      <c r="B7" s="6" t="s">
        <v>11</v>
      </c>
      <c r="C7" s="6">
        <v>23</v>
      </c>
      <c r="D7" s="7">
        <v>11574075</v>
      </c>
      <c r="E7" s="38">
        <v>7.4999999999999997E-2</v>
      </c>
      <c r="F7" s="7">
        <v>12500000</v>
      </c>
      <c r="G7" s="38">
        <v>7.4999999999999997E-2</v>
      </c>
      <c r="H7" s="7">
        <v>13425925</v>
      </c>
      <c r="I7" s="38">
        <v>7.6999999999999999E-2</v>
      </c>
      <c r="J7" s="10" t="s">
        <v>238</v>
      </c>
      <c r="K7" s="40">
        <v>0.114</v>
      </c>
      <c r="L7" s="6"/>
      <c r="M7" s="6"/>
    </row>
    <row r="8" spans="1:20" x14ac:dyDescent="0.25">
      <c r="A8" s="9" t="s">
        <v>37</v>
      </c>
      <c r="B8" s="6" t="s">
        <v>18</v>
      </c>
      <c r="C8" s="6">
        <v>39</v>
      </c>
      <c r="D8" s="7">
        <v>5685000</v>
      </c>
      <c r="E8" s="38">
        <v>3.6999999999999998E-2</v>
      </c>
      <c r="F8" s="14">
        <v>5969250</v>
      </c>
      <c r="G8" s="39">
        <v>3.5999999999999997E-2</v>
      </c>
      <c r="H8" s="11" t="s">
        <v>177</v>
      </c>
      <c r="I8" s="40">
        <v>4.4999999999999998E-2</v>
      </c>
      <c r="J8" s="6"/>
      <c r="K8" s="38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241</v>
      </c>
      <c r="B9" s="6" t="s">
        <v>11</v>
      </c>
      <c r="C9" s="6">
        <v>22</v>
      </c>
      <c r="D9" s="7">
        <v>3687960</v>
      </c>
      <c r="E9" s="38">
        <v>2.4E-2</v>
      </c>
      <c r="F9" s="7">
        <v>5679459</v>
      </c>
      <c r="G9" s="38">
        <v>3.4000000000000002E-2</v>
      </c>
      <c r="H9" s="12" t="s">
        <v>242</v>
      </c>
      <c r="I9" s="42">
        <v>9.8000000000000004E-2</v>
      </c>
      <c r="J9" s="6"/>
      <c r="K9" s="6"/>
      <c r="L9" s="6"/>
      <c r="M9" s="6"/>
      <c r="O9" t="s">
        <v>488</v>
      </c>
      <c r="P9" s="9" t="s">
        <v>230</v>
      </c>
      <c r="Q9" s="9" t="s">
        <v>241</v>
      </c>
      <c r="R9" s="9" t="s">
        <v>232</v>
      </c>
      <c r="S9" s="9" t="s">
        <v>234</v>
      </c>
      <c r="T9" s="9" t="s">
        <v>9</v>
      </c>
    </row>
    <row r="10" spans="1:20" x14ac:dyDescent="0.25">
      <c r="A10" s="9" t="s">
        <v>453</v>
      </c>
      <c r="B10" s="6" t="s">
        <v>11</v>
      </c>
      <c r="C10" s="6">
        <v>27</v>
      </c>
      <c r="D10" s="7">
        <v>3080921</v>
      </c>
      <c r="E10" s="38">
        <v>0.02</v>
      </c>
      <c r="F10" s="14">
        <v>3451779</v>
      </c>
      <c r="G10" s="39">
        <v>2.1000000000000001E-2</v>
      </c>
      <c r="H10" s="10" t="s">
        <v>58</v>
      </c>
      <c r="I10" s="40">
        <v>1.4999999999999999E-2</v>
      </c>
      <c r="J10" s="6"/>
      <c r="K10" s="6"/>
      <c r="L10" s="6"/>
      <c r="M10" s="6"/>
      <c r="O10" t="s">
        <v>489</v>
      </c>
      <c r="P10" s="9" t="s">
        <v>243</v>
      </c>
      <c r="Q10" s="9" t="s">
        <v>453</v>
      </c>
      <c r="R10" s="9" t="s">
        <v>244</v>
      </c>
      <c r="S10" s="9" t="s">
        <v>457</v>
      </c>
      <c r="T10" s="9" t="s">
        <v>37</v>
      </c>
    </row>
    <row r="11" spans="1:20" x14ac:dyDescent="0.25">
      <c r="A11" s="9" t="s">
        <v>243</v>
      </c>
      <c r="B11" s="6" t="s">
        <v>25</v>
      </c>
      <c r="C11" s="6">
        <v>33</v>
      </c>
      <c r="D11" s="7">
        <v>2296274</v>
      </c>
      <c r="E11" s="38">
        <v>1.4999999999999999E-2</v>
      </c>
      <c r="F11" s="11" t="s">
        <v>57</v>
      </c>
      <c r="G11" s="40">
        <v>1.4999999999999999E-2</v>
      </c>
      <c r="H11" s="6"/>
      <c r="I11" s="38"/>
      <c r="J11" s="6"/>
      <c r="K11" s="6"/>
      <c r="L11" s="6"/>
      <c r="M11" s="6"/>
      <c r="O11" t="s">
        <v>490</v>
      </c>
      <c r="P11" s="9" t="s">
        <v>248</v>
      </c>
      <c r="Q11" s="9" t="s">
        <v>246</v>
      </c>
      <c r="R11" s="9" t="s">
        <v>237</v>
      </c>
      <c r="S11" s="9"/>
      <c r="T11" s="9" t="s">
        <v>245</v>
      </c>
    </row>
    <row r="12" spans="1:20" x14ac:dyDescent="0.25">
      <c r="A12" s="9" t="s">
        <v>244</v>
      </c>
      <c r="B12" s="6" t="s">
        <v>14</v>
      </c>
      <c r="C12" s="6">
        <v>23</v>
      </c>
      <c r="D12" s="7">
        <v>2221677</v>
      </c>
      <c r="E12" s="38">
        <v>1.4E-2</v>
      </c>
      <c r="F12" s="7">
        <v>4629630</v>
      </c>
      <c r="G12" s="38">
        <v>2.8000000000000001E-2</v>
      </c>
      <c r="H12" s="7">
        <v>5000000</v>
      </c>
      <c r="I12" s="38">
        <v>2.9000000000000001E-2</v>
      </c>
      <c r="J12" s="14">
        <v>5370370</v>
      </c>
      <c r="K12" s="39">
        <v>2.9000000000000001E-2</v>
      </c>
      <c r="L12" s="10" t="s">
        <v>454</v>
      </c>
      <c r="M12" s="40">
        <v>5.2999999999999999E-2</v>
      </c>
      <c r="P12" s="9" t="s">
        <v>247</v>
      </c>
      <c r="Q12" s="9" t="s">
        <v>456</v>
      </c>
    </row>
    <row r="13" spans="1:20" x14ac:dyDescent="0.25">
      <c r="A13" s="9" t="s">
        <v>245</v>
      </c>
      <c r="B13" s="6" t="s">
        <v>18</v>
      </c>
      <c r="C13" s="6">
        <v>25</v>
      </c>
      <c r="D13" s="7">
        <v>1955377</v>
      </c>
      <c r="E13" s="38">
        <v>1.2999999999999999E-2</v>
      </c>
      <c r="F13" s="12" t="s">
        <v>225</v>
      </c>
      <c r="G13" s="42">
        <v>1.6E-2</v>
      </c>
      <c r="H13" s="6"/>
      <c r="I13" s="6"/>
      <c r="J13" s="6"/>
      <c r="K13" s="6"/>
      <c r="L13" s="6"/>
      <c r="M13" s="6"/>
      <c r="P13" s="9" t="s">
        <v>249</v>
      </c>
    </row>
    <row r="14" spans="1:20" x14ac:dyDescent="0.25">
      <c r="A14" s="9" t="s">
        <v>246</v>
      </c>
      <c r="B14" s="6" t="s">
        <v>11</v>
      </c>
      <c r="C14" s="6">
        <v>35</v>
      </c>
      <c r="D14" s="7">
        <v>1755198</v>
      </c>
      <c r="E14" s="38">
        <v>1.0999999999999999E-2</v>
      </c>
      <c r="F14" s="11" t="s">
        <v>57</v>
      </c>
      <c r="G14" s="40">
        <v>1.4999999999999999E-2</v>
      </c>
      <c r="H14" s="6"/>
      <c r="I14" s="38"/>
      <c r="J14" s="6"/>
      <c r="K14" s="6"/>
      <c r="L14" s="6"/>
      <c r="M14" s="6"/>
    </row>
    <row r="15" spans="1:20" x14ac:dyDescent="0.25">
      <c r="A15" s="9" t="s">
        <v>247</v>
      </c>
      <c r="B15" s="6" t="s">
        <v>29</v>
      </c>
      <c r="C15" s="6">
        <v>23</v>
      </c>
      <c r="D15" s="7">
        <v>1272870</v>
      </c>
      <c r="E15" s="38">
        <v>8.0000000000000002E-3</v>
      </c>
      <c r="F15" s="7">
        <v>2150917</v>
      </c>
      <c r="G15" s="38">
        <v>1.2999999999999999E-2</v>
      </c>
      <c r="H15" s="7">
        <v>2525901</v>
      </c>
      <c r="I15" s="38">
        <v>1.4E-2</v>
      </c>
      <c r="J15" s="13">
        <v>2735698</v>
      </c>
      <c r="K15" s="41">
        <v>1.4999999999999999E-2</v>
      </c>
      <c r="L15" s="10" t="s">
        <v>61</v>
      </c>
      <c r="M15" s="40">
        <v>1.4999999999999999E-2</v>
      </c>
    </row>
    <row r="16" spans="1:20" x14ac:dyDescent="0.25">
      <c r="A16" s="9" t="s">
        <v>248</v>
      </c>
      <c r="B16" s="6" t="s">
        <v>29</v>
      </c>
      <c r="C16" s="6">
        <v>29</v>
      </c>
      <c r="D16" s="7">
        <v>857804</v>
      </c>
      <c r="E16" s="38">
        <v>6.0000000000000001E-3</v>
      </c>
      <c r="F16" s="12" t="s">
        <v>455</v>
      </c>
      <c r="G16" s="42">
        <v>8.0000000000000002E-3</v>
      </c>
      <c r="H16" s="6"/>
      <c r="I16" s="6"/>
      <c r="J16" s="6"/>
      <c r="K16" s="6"/>
      <c r="L16" s="6"/>
      <c r="M16" s="6"/>
    </row>
    <row r="17" spans="1:13" x14ac:dyDescent="0.25">
      <c r="A17" s="9" t="s">
        <v>456</v>
      </c>
      <c r="B17" s="6" t="s">
        <v>11</v>
      </c>
      <c r="C17" s="6">
        <v>26</v>
      </c>
      <c r="D17" s="7" t="s">
        <v>63</v>
      </c>
      <c r="E17" s="38"/>
      <c r="F17" s="42" t="s">
        <v>64</v>
      </c>
      <c r="G17" s="42">
        <v>1.2999999999999999E-2</v>
      </c>
      <c r="H17" s="6"/>
      <c r="I17" s="38"/>
      <c r="J17" s="7"/>
      <c r="K17" s="38"/>
      <c r="L17" s="6"/>
      <c r="M17" s="38"/>
    </row>
    <row r="18" spans="1:13" x14ac:dyDescent="0.25">
      <c r="A18" s="9" t="s">
        <v>457</v>
      </c>
      <c r="B18" s="6" t="s">
        <v>10</v>
      </c>
      <c r="C18" s="6">
        <v>26</v>
      </c>
      <c r="D18" s="6" t="s">
        <v>63</v>
      </c>
      <c r="E18" s="6"/>
      <c r="F18" s="38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249</v>
      </c>
      <c r="B19" s="6" t="s">
        <v>25</v>
      </c>
      <c r="C19" s="6">
        <v>24</v>
      </c>
      <c r="D19" s="6" t="s">
        <v>63</v>
      </c>
      <c r="E19" s="6"/>
      <c r="F19" s="6" t="s">
        <v>63</v>
      </c>
      <c r="G19" s="6"/>
      <c r="H19" s="12" t="s">
        <v>64</v>
      </c>
      <c r="I19" s="42">
        <v>1.2999999999999999E-2</v>
      </c>
      <c r="J19" s="6"/>
      <c r="K19" s="6"/>
      <c r="L19" s="6"/>
      <c r="M19" s="6"/>
    </row>
    <row r="22" spans="1:13" x14ac:dyDescent="0.25">
      <c r="A22" s="76" t="s">
        <v>65</v>
      </c>
      <c r="B22" s="76"/>
      <c r="C22" s="76"/>
      <c r="D22" s="16">
        <f>SUM(D2:D16)</f>
        <v>204744987</v>
      </c>
      <c r="E22" s="29"/>
      <c r="F22" s="16">
        <f>SUM(F3:F4,F7,F9,F12,F15)</f>
        <v>144379937</v>
      </c>
      <c r="G22" s="17"/>
      <c r="H22" s="16">
        <f>SUM(H7,H12,H15)</f>
        <v>20951826</v>
      </c>
      <c r="I22" s="17"/>
      <c r="J22" s="16">
        <f>SUM(J3,J11)</f>
        <v>0</v>
      </c>
      <c r="K22" s="17"/>
      <c r="L22" s="16">
        <f>SUM(L3,L11)</f>
        <v>0</v>
      </c>
      <c r="M22" s="3" t="s">
        <v>479</v>
      </c>
    </row>
    <row r="23" spans="1:13" x14ac:dyDescent="0.25">
      <c r="A23" s="71" t="s">
        <v>66</v>
      </c>
      <c r="B23" s="72"/>
      <c r="C23" s="73"/>
      <c r="D23" s="16">
        <f>D22</f>
        <v>204744987</v>
      </c>
      <c r="E23" s="17"/>
      <c r="F23" s="16">
        <f>F22+E30*9</f>
        <v>156991376</v>
      </c>
      <c r="G23" s="17"/>
      <c r="H23" s="16">
        <f>H22+E31*12</f>
        <v>39448603.200000003</v>
      </c>
      <c r="I23" s="17"/>
      <c r="J23" s="16">
        <f>J22+E32*15</f>
        <v>25433068.650000002</v>
      </c>
      <c r="K23" s="16"/>
      <c r="L23" s="16">
        <f>L22+E33*15</f>
        <v>27976375.515000004</v>
      </c>
      <c r="M23" s="3" t="s">
        <v>480</v>
      </c>
    </row>
    <row r="24" spans="1:13" x14ac:dyDescent="0.25">
      <c r="A24" s="71" t="s">
        <v>67</v>
      </c>
      <c r="B24" s="72"/>
      <c r="C24" s="73"/>
      <c r="D24" s="16">
        <f>D23</f>
        <v>204744987</v>
      </c>
      <c r="E24" s="17"/>
      <c r="F24" s="16">
        <f>F22+F6+F10+F8</f>
        <v>181479537</v>
      </c>
      <c r="G24" s="17"/>
      <c r="H24" s="16">
        <f>H22</f>
        <v>20951826</v>
      </c>
      <c r="I24" s="17"/>
      <c r="J24" s="16">
        <f>J22+J12+J15</f>
        <v>8106068</v>
      </c>
      <c r="K24" s="17"/>
      <c r="L24" s="16">
        <f>L22</f>
        <v>0</v>
      </c>
      <c r="M24" s="3" t="s">
        <v>481</v>
      </c>
    </row>
    <row r="25" spans="1:13" x14ac:dyDescent="0.25">
      <c r="A25" s="71" t="s">
        <v>68</v>
      </c>
      <c r="B25" s="72"/>
      <c r="C25" s="73"/>
      <c r="D25" s="16">
        <v>154647000</v>
      </c>
      <c r="E25" s="17"/>
      <c r="F25" s="16">
        <v>165000000</v>
      </c>
      <c r="G25" s="17"/>
      <c r="H25" s="16">
        <v>173250000</v>
      </c>
      <c r="I25" s="17"/>
      <c r="J25" s="16">
        <v>181913000</v>
      </c>
      <c r="K25" s="17"/>
      <c r="L25" s="16">
        <v>191009000</v>
      </c>
      <c r="M25" s="3"/>
    </row>
    <row r="26" spans="1:13" x14ac:dyDescent="0.25">
      <c r="A26" s="71" t="s">
        <v>69</v>
      </c>
      <c r="B26" s="72"/>
      <c r="C26" s="73"/>
      <c r="D26" s="16">
        <v>187895000</v>
      </c>
      <c r="E26" s="17"/>
      <c r="F26" s="29">
        <v>200000000</v>
      </c>
      <c r="G26" s="17"/>
      <c r="H26" s="16">
        <v>210499000</v>
      </c>
      <c r="I26" s="17"/>
      <c r="J26" s="16">
        <v>221024000</v>
      </c>
      <c r="K26" s="17"/>
      <c r="L26" s="16">
        <v>232076000</v>
      </c>
      <c r="M26" s="3"/>
    </row>
    <row r="27" spans="1:13" x14ac:dyDescent="0.25">
      <c r="A27" s="71" t="s">
        <v>70</v>
      </c>
      <c r="B27" s="72"/>
      <c r="C27" s="73"/>
      <c r="D27" s="16">
        <f>D25-D23</f>
        <v>-50097987</v>
      </c>
      <c r="E27" s="16"/>
      <c r="F27" s="16">
        <f>F25-F23</f>
        <v>8008624</v>
      </c>
      <c r="G27" s="16"/>
      <c r="H27" s="16">
        <f>H25-H23</f>
        <v>133801396.8</v>
      </c>
      <c r="I27" s="16"/>
      <c r="J27" s="16">
        <f>J25-J23</f>
        <v>156479931.34999999</v>
      </c>
      <c r="K27" s="16"/>
      <c r="L27" s="16">
        <f>L25-L23</f>
        <v>163032624.48499998</v>
      </c>
      <c r="M27" s="3" t="s">
        <v>482</v>
      </c>
    </row>
    <row r="28" spans="1:13" x14ac:dyDescent="0.25">
      <c r="A28" s="74" t="s">
        <v>71</v>
      </c>
      <c r="B28" s="74"/>
      <c r="C28" s="74"/>
      <c r="D28" s="16">
        <f>D26-D23</f>
        <v>-16849987</v>
      </c>
      <c r="E28" s="16"/>
      <c r="F28" s="16">
        <f>F26-F23</f>
        <v>43008624</v>
      </c>
      <c r="G28" s="16"/>
      <c r="H28" s="16">
        <f>H26-H23</f>
        <v>171050396.80000001</v>
      </c>
      <c r="I28" s="16"/>
      <c r="J28" s="16">
        <f>J26-J23</f>
        <v>195590931.34999999</v>
      </c>
      <c r="K28" s="16"/>
      <c r="L28" s="16">
        <f>L26-L23</f>
        <v>204099624.48499998</v>
      </c>
      <c r="M28" s="3" t="s">
        <v>483</v>
      </c>
    </row>
    <row r="29" spans="1:13" x14ac:dyDescent="0.25">
      <c r="D29" s="30"/>
      <c r="E29" s="3"/>
      <c r="F29" s="30"/>
      <c r="G29" s="3"/>
      <c r="H29" s="30"/>
      <c r="I29" s="3"/>
      <c r="J29" s="30"/>
      <c r="K29" s="3"/>
      <c r="L29" s="30"/>
      <c r="M29" s="3"/>
    </row>
    <row r="30" spans="1:13" x14ac:dyDescent="0.25">
      <c r="A30" s="75" t="s">
        <v>404</v>
      </c>
      <c r="B30" s="75"/>
      <c r="C30" s="75"/>
      <c r="D30" s="75"/>
      <c r="E30" s="16">
        <v>1401271</v>
      </c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405</v>
      </c>
      <c r="B31" s="75"/>
      <c r="C31" s="75"/>
      <c r="D31" s="75"/>
      <c r="E31" s="16">
        <f>E30*1.1</f>
        <v>1541398.1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406</v>
      </c>
      <c r="B32" s="75"/>
      <c r="C32" s="75"/>
      <c r="D32" s="75"/>
      <c r="E32" s="16">
        <f>E31*1.1</f>
        <v>1695537.9100000001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407</v>
      </c>
      <c r="B33" s="75"/>
      <c r="C33" s="75"/>
      <c r="D33" s="75"/>
      <c r="E33" s="16">
        <f>E32*1.1</f>
        <v>1865091.7010000004</v>
      </c>
      <c r="F33" s="30"/>
      <c r="G33" s="3"/>
      <c r="H33" s="30"/>
      <c r="I33" s="3"/>
      <c r="J33" s="30"/>
      <c r="K33" s="3"/>
      <c r="L33" s="30"/>
      <c r="M33" s="3"/>
    </row>
  </sheetData>
  <mergeCells count="12">
    <mergeCell ref="A1:M1"/>
    <mergeCell ref="A33:D33"/>
    <mergeCell ref="A25:C25"/>
    <mergeCell ref="A24:C24"/>
    <mergeCell ref="A23:C23"/>
    <mergeCell ref="A22:C22"/>
    <mergeCell ref="A26:C26"/>
    <mergeCell ref="A27:C27"/>
    <mergeCell ref="A30:D30"/>
    <mergeCell ref="A31:D31"/>
    <mergeCell ref="A32:D32"/>
    <mergeCell ref="A28:C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4902-A866-450F-B265-A5C4BA824C0E}">
  <dimension ref="A1:T33"/>
  <sheetViews>
    <sheetView workbookViewId="0">
      <pane ySplit="2" topLeftCell="A3" activePane="bottomLeft" state="frozen"/>
      <selection pane="bottomLeft" activeCell="L23" sqref="L23"/>
    </sheetView>
  </sheetViews>
  <sheetFormatPr defaultRowHeight="15" x14ac:dyDescent="0.25"/>
  <cols>
    <col min="1" max="1" width="19.14062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3.7109375" bestFit="1" customWidth="1"/>
    <col min="12" max="12" width="13.7109375" bestFit="1" customWidth="1"/>
    <col min="15" max="15" width="13.28515625" bestFit="1" customWidth="1"/>
    <col min="16" max="16" width="14.85546875" bestFit="1" customWidth="1"/>
    <col min="17" max="17" width="16.140625" bestFit="1" customWidth="1"/>
    <col min="18" max="18" width="13.140625" bestFit="1" customWidth="1"/>
    <col min="19" max="19" width="19.7109375" bestFit="1" customWidth="1"/>
    <col min="20" max="20" width="15.28515625" bestFit="1" customWidth="1"/>
  </cols>
  <sheetData>
    <row r="1" spans="1:20" x14ac:dyDescent="0.25">
      <c r="A1" s="83" t="s">
        <v>499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250</v>
      </c>
      <c r="B3" s="6" t="s">
        <v>14</v>
      </c>
      <c r="C3" s="6">
        <v>37</v>
      </c>
      <c r="D3" s="7">
        <v>54708609</v>
      </c>
      <c r="E3" s="38">
        <v>0.35399999999999998</v>
      </c>
      <c r="F3" s="7">
        <v>43902439</v>
      </c>
      <c r="G3" s="38">
        <v>0.26400000000000001</v>
      </c>
      <c r="H3" s="14">
        <v>46097561</v>
      </c>
      <c r="I3" s="39">
        <v>0.26400000000000001</v>
      </c>
      <c r="J3" s="10" t="s">
        <v>251</v>
      </c>
      <c r="K3" s="40">
        <v>0.378</v>
      </c>
      <c r="L3" s="6"/>
      <c r="M3" s="6"/>
      <c r="O3" s="31" t="s">
        <v>484</v>
      </c>
    </row>
    <row r="4" spans="1:20" x14ac:dyDescent="0.25">
      <c r="A4" s="9" t="s">
        <v>252</v>
      </c>
      <c r="B4" s="6" t="s">
        <v>18</v>
      </c>
      <c r="C4" s="6">
        <v>23</v>
      </c>
      <c r="D4" s="7">
        <v>33944954</v>
      </c>
      <c r="E4" s="38">
        <v>0.22</v>
      </c>
      <c r="F4" s="7">
        <v>35642202</v>
      </c>
      <c r="G4" s="38">
        <v>0.215</v>
      </c>
      <c r="H4" s="7">
        <v>37339450</v>
      </c>
      <c r="I4" s="38">
        <v>0.214</v>
      </c>
      <c r="J4" s="7">
        <v>39036697</v>
      </c>
      <c r="K4" s="38">
        <v>0.21299999999999999</v>
      </c>
      <c r="L4" s="14">
        <v>39036697</v>
      </c>
      <c r="M4" s="39">
        <v>0.20300000000000001</v>
      </c>
      <c r="O4" s="32" t="s">
        <v>485</v>
      </c>
    </row>
    <row r="5" spans="1:20" x14ac:dyDescent="0.25">
      <c r="A5" s="9" t="s">
        <v>253</v>
      </c>
      <c r="B5" s="6" t="s">
        <v>25</v>
      </c>
      <c r="C5" s="6">
        <v>31</v>
      </c>
      <c r="D5" s="7">
        <v>25000000</v>
      </c>
      <c r="E5" s="38">
        <v>0.16200000000000001</v>
      </c>
      <c r="F5" s="14">
        <v>25000000</v>
      </c>
      <c r="G5" s="39">
        <v>0.151</v>
      </c>
      <c r="H5" s="10" t="s">
        <v>127</v>
      </c>
      <c r="I5" s="40">
        <v>0.215</v>
      </c>
      <c r="J5" s="6"/>
      <c r="K5" s="6"/>
      <c r="L5" s="6"/>
      <c r="M5" s="6"/>
      <c r="O5" s="33" t="s">
        <v>486</v>
      </c>
    </row>
    <row r="6" spans="1:20" x14ac:dyDescent="0.25">
      <c r="A6" s="9" t="s">
        <v>254</v>
      </c>
      <c r="B6" s="6" t="s">
        <v>18</v>
      </c>
      <c r="C6" s="6">
        <v>32</v>
      </c>
      <c r="D6" s="7">
        <v>14130435</v>
      </c>
      <c r="E6" s="38">
        <v>9.0999999999999998E-2</v>
      </c>
      <c r="F6" s="7">
        <v>13000000</v>
      </c>
      <c r="G6" s="38">
        <v>7.8E-2</v>
      </c>
      <c r="H6" s="7">
        <v>11869565</v>
      </c>
      <c r="I6" s="38">
        <v>6.8000000000000005E-2</v>
      </c>
      <c r="J6" s="10" t="s">
        <v>255</v>
      </c>
      <c r="K6" s="40">
        <v>0.123</v>
      </c>
      <c r="L6" s="6"/>
      <c r="M6" s="6"/>
      <c r="O6" s="34" t="s">
        <v>487</v>
      </c>
    </row>
    <row r="7" spans="1:20" x14ac:dyDescent="0.25">
      <c r="A7" s="9" t="s">
        <v>256</v>
      </c>
      <c r="B7" s="6" t="s">
        <v>10</v>
      </c>
      <c r="C7" s="6">
        <v>32</v>
      </c>
      <c r="D7" s="7">
        <v>12700000</v>
      </c>
      <c r="E7" s="38">
        <v>8.2000000000000003E-2</v>
      </c>
      <c r="F7" s="7">
        <v>13335000</v>
      </c>
      <c r="G7" s="38">
        <v>0.08</v>
      </c>
      <c r="H7" s="7">
        <v>13335000</v>
      </c>
      <c r="I7" s="38">
        <v>7.6999999999999999E-2</v>
      </c>
      <c r="J7" s="14">
        <v>13335000</v>
      </c>
      <c r="K7" s="39">
        <v>7.2999999999999995E-2</v>
      </c>
      <c r="L7" s="10" t="s">
        <v>157</v>
      </c>
      <c r="M7" s="40">
        <v>0.104</v>
      </c>
    </row>
    <row r="8" spans="1:20" x14ac:dyDescent="0.25">
      <c r="A8" s="9" t="s">
        <v>257</v>
      </c>
      <c r="B8" s="6" t="s">
        <v>10</v>
      </c>
      <c r="C8" s="6">
        <v>22</v>
      </c>
      <c r="D8" s="7">
        <v>12350392</v>
      </c>
      <c r="E8" s="38">
        <v>0.08</v>
      </c>
      <c r="F8" s="7">
        <v>23643411</v>
      </c>
      <c r="G8" s="38">
        <v>0.14199999999999999</v>
      </c>
      <c r="H8" s="7">
        <v>21751940</v>
      </c>
      <c r="I8" s="38">
        <v>0.125</v>
      </c>
      <c r="J8" s="7">
        <v>23643411</v>
      </c>
      <c r="K8" s="38">
        <v>0.129</v>
      </c>
      <c r="L8" s="7">
        <v>25534883</v>
      </c>
      <c r="M8" s="38">
        <v>0.13300000000000001</v>
      </c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258</v>
      </c>
      <c r="B9" s="6" t="s">
        <v>11</v>
      </c>
      <c r="C9" s="6">
        <v>21</v>
      </c>
      <c r="D9" s="7">
        <v>10603560</v>
      </c>
      <c r="E9" s="38">
        <v>6.9000000000000006E-2</v>
      </c>
      <c r="F9" s="7">
        <v>11108880</v>
      </c>
      <c r="G9" s="38">
        <v>6.7000000000000004E-2</v>
      </c>
      <c r="H9" s="13">
        <v>14041625</v>
      </c>
      <c r="I9" s="41">
        <v>8.1000000000000003E-2</v>
      </c>
      <c r="J9" s="12" t="s">
        <v>259</v>
      </c>
      <c r="K9" s="42">
        <v>0.192</v>
      </c>
      <c r="L9" s="6"/>
      <c r="M9" s="6"/>
      <c r="O9" t="s">
        <v>488</v>
      </c>
      <c r="P9" s="9" t="s">
        <v>253</v>
      </c>
      <c r="Q9" s="9" t="s">
        <v>260</v>
      </c>
      <c r="R9" s="9" t="s">
        <v>250</v>
      </c>
      <c r="S9" s="9" t="s">
        <v>257</v>
      </c>
      <c r="T9" s="9" t="s">
        <v>252</v>
      </c>
    </row>
    <row r="10" spans="1:20" x14ac:dyDescent="0.25">
      <c r="A10" s="9" t="s">
        <v>260</v>
      </c>
      <c r="B10" s="6" t="s">
        <v>25</v>
      </c>
      <c r="C10" s="6">
        <v>23</v>
      </c>
      <c r="D10" s="7">
        <v>9690600</v>
      </c>
      <c r="E10" s="38">
        <v>6.3E-2</v>
      </c>
      <c r="F10" s="7">
        <v>12258609</v>
      </c>
      <c r="G10" s="38">
        <v>7.3999999999999996E-2</v>
      </c>
      <c r="H10" s="12" t="s">
        <v>261</v>
      </c>
      <c r="I10" s="42">
        <v>0.21099999999999999</v>
      </c>
      <c r="J10" s="6"/>
      <c r="K10" s="6"/>
      <c r="L10" s="6"/>
      <c r="M10" s="6"/>
      <c r="O10" t="s">
        <v>489</v>
      </c>
      <c r="P10" s="9" t="s">
        <v>258</v>
      </c>
      <c r="Q10" s="9" t="s">
        <v>264</v>
      </c>
      <c r="R10" s="9" t="s">
        <v>263</v>
      </c>
      <c r="S10" s="9" t="s">
        <v>256</v>
      </c>
      <c r="T10" s="9" t="s">
        <v>254</v>
      </c>
    </row>
    <row r="11" spans="1:20" x14ac:dyDescent="0.25">
      <c r="A11" s="9" t="s">
        <v>33</v>
      </c>
      <c r="B11" s="6" t="s">
        <v>18</v>
      </c>
      <c r="C11" s="6">
        <v>31</v>
      </c>
      <c r="D11" s="7">
        <v>6700000</v>
      </c>
      <c r="E11" s="38">
        <v>4.2999999999999997E-2</v>
      </c>
      <c r="F11" s="7">
        <v>7035000</v>
      </c>
      <c r="G11" s="38">
        <v>4.2000000000000003E-2</v>
      </c>
      <c r="H11" s="7">
        <v>7370000</v>
      </c>
      <c r="I11" s="38">
        <v>4.2000000000000003E-2</v>
      </c>
      <c r="J11" s="10" t="s">
        <v>262</v>
      </c>
      <c r="K11" s="40">
        <v>7.6999999999999999E-2</v>
      </c>
      <c r="L11" s="6"/>
      <c r="M11" s="6"/>
      <c r="O11" t="s">
        <v>490</v>
      </c>
      <c r="P11" s="9" t="s">
        <v>265</v>
      </c>
      <c r="Q11" s="9" t="s">
        <v>269</v>
      </c>
      <c r="R11" s="9" t="s">
        <v>458</v>
      </c>
      <c r="S11" s="9" t="s">
        <v>266</v>
      </c>
      <c r="T11" s="9" t="s">
        <v>33</v>
      </c>
    </row>
    <row r="12" spans="1:20" x14ac:dyDescent="0.25">
      <c r="A12" s="9" t="s">
        <v>263</v>
      </c>
      <c r="B12" s="6" t="s">
        <v>10</v>
      </c>
      <c r="C12" s="6">
        <v>24</v>
      </c>
      <c r="D12" s="7">
        <v>5675766</v>
      </c>
      <c r="E12" s="38">
        <v>3.6999999999999998E-2</v>
      </c>
      <c r="F12" s="12" t="s">
        <v>242</v>
      </c>
      <c r="G12" s="42">
        <v>0.10299999999999999</v>
      </c>
      <c r="H12" s="6"/>
      <c r="I12" s="6"/>
      <c r="J12" s="6"/>
      <c r="K12" s="6"/>
      <c r="L12" s="6"/>
      <c r="M12" s="6"/>
      <c r="P12" s="9" t="s">
        <v>267</v>
      </c>
    </row>
    <row r="13" spans="1:20" x14ac:dyDescent="0.25">
      <c r="A13" s="9" t="s">
        <v>458</v>
      </c>
      <c r="B13" s="6" t="s">
        <v>14</v>
      </c>
      <c r="C13" s="6">
        <v>30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  <c r="P13" s="9" t="s">
        <v>268</v>
      </c>
    </row>
    <row r="14" spans="1:20" x14ac:dyDescent="0.25">
      <c r="A14" s="9" t="s">
        <v>264</v>
      </c>
      <c r="B14" s="6" t="s">
        <v>11</v>
      </c>
      <c r="C14" s="6">
        <v>27</v>
      </c>
      <c r="D14" s="7">
        <v>2296274</v>
      </c>
      <c r="E14" s="38">
        <v>1.4999999999999999E-2</v>
      </c>
      <c r="F14" s="10" t="s">
        <v>57</v>
      </c>
      <c r="G14" s="40">
        <v>1.4999999999999999E-2</v>
      </c>
      <c r="H14" s="6"/>
      <c r="I14" s="6"/>
      <c r="J14" s="6"/>
      <c r="K14" s="6"/>
      <c r="L14" s="6"/>
      <c r="M14" s="6"/>
    </row>
    <row r="15" spans="1:20" x14ac:dyDescent="0.25">
      <c r="A15" s="9" t="s">
        <v>265</v>
      </c>
      <c r="B15" s="6" t="s">
        <v>25</v>
      </c>
      <c r="C15" s="6">
        <v>29</v>
      </c>
      <c r="D15" s="7">
        <v>2296274</v>
      </c>
      <c r="E15" s="38">
        <v>1.4999999999999999E-2</v>
      </c>
      <c r="F15" s="10" t="s">
        <v>57</v>
      </c>
      <c r="G15" s="40">
        <v>1.4999999999999999E-2</v>
      </c>
      <c r="H15" s="6"/>
      <c r="I15" s="6"/>
      <c r="J15" s="6"/>
      <c r="K15" s="6"/>
      <c r="L15" s="6"/>
      <c r="M15" s="6"/>
    </row>
    <row r="16" spans="1:20" x14ac:dyDescent="0.25">
      <c r="A16" s="9" t="s">
        <v>266</v>
      </c>
      <c r="B16" s="6" t="s">
        <v>10</v>
      </c>
      <c r="C16" s="6">
        <v>39</v>
      </c>
      <c r="D16" s="7">
        <v>2296274</v>
      </c>
      <c r="E16" s="38">
        <v>1.4999999999999999E-2</v>
      </c>
      <c r="F16" s="10" t="s">
        <v>57</v>
      </c>
      <c r="G16" s="40">
        <v>1.4999999999999999E-2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267</v>
      </c>
      <c r="B17" s="6" t="s">
        <v>25</v>
      </c>
      <c r="C17" s="6">
        <v>24</v>
      </c>
      <c r="D17" s="6" t="s">
        <v>63</v>
      </c>
      <c r="E17" s="6"/>
      <c r="F17" s="6" t="s">
        <v>63</v>
      </c>
      <c r="G17" s="6"/>
      <c r="H17" s="12" t="s">
        <v>64</v>
      </c>
      <c r="I17" s="42">
        <v>1.2999999999999999E-2</v>
      </c>
      <c r="J17" s="6"/>
      <c r="K17" s="6"/>
      <c r="L17" s="6"/>
      <c r="M17" s="6"/>
    </row>
    <row r="18" spans="1:13" x14ac:dyDescent="0.25">
      <c r="A18" s="9" t="s">
        <v>268</v>
      </c>
      <c r="B18" s="6" t="s">
        <v>25</v>
      </c>
      <c r="C18" s="6">
        <v>23</v>
      </c>
      <c r="D18" s="6" t="s">
        <v>63</v>
      </c>
      <c r="E18" s="6"/>
      <c r="F18" s="40" t="s">
        <v>57</v>
      </c>
      <c r="G18" s="40">
        <v>1.4999999999999999E-2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269</v>
      </c>
      <c r="B19" s="6" t="s">
        <v>29</v>
      </c>
      <c r="C19" s="6">
        <v>24</v>
      </c>
      <c r="D19" s="6" t="s">
        <v>63</v>
      </c>
      <c r="E19" s="6"/>
      <c r="F19" s="4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2" spans="1:13" x14ac:dyDescent="0.25">
      <c r="A22" s="76" t="s">
        <v>65</v>
      </c>
      <c r="B22" s="76"/>
      <c r="C22" s="76"/>
      <c r="D22" s="16">
        <f>SUM(D2:D16)</f>
        <v>194689412</v>
      </c>
      <c r="E22" s="29"/>
      <c r="F22" s="16">
        <f>SUM(F3:F4,F6:F11)</f>
        <v>159925541</v>
      </c>
      <c r="G22" s="17"/>
      <c r="H22" s="16">
        <f>SUM(H4,H6:H8,H11)</f>
        <v>91665955</v>
      </c>
      <c r="I22" s="17"/>
      <c r="J22" s="16">
        <f>SUM(J4,J8)</f>
        <v>62680108</v>
      </c>
      <c r="K22" s="17"/>
      <c r="L22" s="16">
        <f>SUM(L8)</f>
        <v>25534883</v>
      </c>
      <c r="M22" s="3" t="s">
        <v>479</v>
      </c>
    </row>
    <row r="23" spans="1:13" x14ac:dyDescent="0.25">
      <c r="A23" s="71" t="s">
        <v>66</v>
      </c>
      <c r="B23" s="72"/>
      <c r="C23" s="73"/>
      <c r="D23" s="16">
        <f>D22</f>
        <v>194689412</v>
      </c>
      <c r="E23" s="17"/>
      <c r="F23" s="16">
        <f>F22+E30*7</f>
        <v>169734438</v>
      </c>
      <c r="G23" s="17"/>
      <c r="H23" s="16">
        <f>H22+E31*10</f>
        <v>107079936</v>
      </c>
      <c r="I23" s="17"/>
      <c r="J23" s="16">
        <f>J22+E32*13</f>
        <v>84722100.829999998</v>
      </c>
      <c r="K23" s="16"/>
      <c r="L23" s="16">
        <f>L22+E33*14</f>
        <v>51646166.814000003</v>
      </c>
      <c r="M23" s="3" t="s">
        <v>480</v>
      </c>
    </row>
    <row r="24" spans="1:13" x14ac:dyDescent="0.25">
      <c r="A24" s="71" t="s">
        <v>67</v>
      </c>
      <c r="B24" s="72"/>
      <c r="C24" s="73"/>
      <c r="D24" s="16">
        <f>D23</f>
        <v>194689412</v>
      </c>
      <c r="E24" s="17"/>
      <c r="F24" s="16">
        <f>F22+F5</f>
        <v>184925541</v>
      </c>
      <c r="G24" s="17"/>
      <c r="H24" s="16">
        <f>H22+H3+H9</f>
        <v>151805141</v>
      </c>
      <c r="I24" s="17"/>
      <c r="J24" s="16">
        <f>J22+J7</f>
        <v>76015108</v>
      </c>
      <c r="K24" s="17"/>
      <c r="L24" s="16">
        <f>L22+L4</f>
        <v>64571580</v>
      </c>
      <c r="M24" s="3" t="s">
        <v>481</v>
      </c>
    </row>
    <row r="25" spans="1:13" x14ac:dyDescent="0.25">
      <c r="A25" s="71" t="s">
        <v>68</v>
      </c>
      <c r="B25" s="72"/>
      <c r="C25" s="73"/>
      <c r="D25" s="16">
        <v>154647000</v>
      </c>
      <c r="E25" s="17"/>
      <c r="F25" s="16">
        <v>165000000</v>
      </c>
      <c r="G25" s="17"/>
      <c r="H25" s="16">
        <v>173250000</v>
      </c>
      <c r="I25" s="17"/>
      <c r="J25" s="16">
        <v>181913000</v>
      </c>
      <c r="K25" s="17"/>
      <c r="L25" s="16">
        <v>191009000</v>
      </c>
      <c r="M25" s="3"/>
    </row>
    <row r="26" spans="1:13" x14ac:dyDescent="0.25">
      <c r="A26" s="71" t="s">
        <v>69</v>
      </c>
      <c r="B26" s="72"/>
      <c r="C26" s="73"/>
      <c r="D26" s="16">
        <v>187895000</v>
      </c>
      <c r="E26" s="17"/>
      <c r="F26" s="29">
        <v>200000000</v>
      </c>
      <c r="G26" s="17"/>
      <c r="H26" s="16">
        <v>210499000</v>
      </c>
      <c r="I26" s="17"/>
      <c r="J26" s="16">
        <v>221024000</v>
      </c>
      <c r="K26" s="17"/>
      <c r="L26" s="16">
        <v>232076000</v>
      </c>
      <c r="M26" s="3"/>
    </row>
    <row r="27" spans="1:13" x14ac:dyDescent="0.25">
      <c r="A27" s="71" t="s">
        <v>70</v>
      </c>
      <c r="B27" s="72"/>
      <c r="C27" s="73"/>
      <c r="D27" s="16">
        <f>D25-D23</f>
        <v>-40042412</v>
      </c>
      <c r="E27" s="16"/>
      <c r="F27" s="16">
        <f>F25-F23</f>
        <v>-4734438</v>
      </c>
      <c r="G27" s="16"/>
      <c r="H27" s="16">
        <f>H25-H23</f>
        <v>66170064</v>
      </c>
      <c r="I27" s="16"/>
      <c r="J27" s="16">
        <f>J25-J23</f>
        <v>97190899.170000002</v>
      </c>
      <c r="K27" s="16"/>
      <c r="L27" s="16">
        <f>L25-L23</f>
        <v>139362833.18599999</v>
      </c>
      <c r="M27" s="3" t="s">
        <v>482</v>
      </c>
    </row>
    <row r="28" spans="1:13" x14ac:dyDescent="0.25">
      <c r="A28" s="74" t="s">
        <v>71</v>
      </c>
      <c r="B28" s="74"/>
      <c r="C28" s="74"/>
      <c r="D28" s="16">
        <f>D26-D23</f>
        <v>-6794412</v>
      </c>
      <c r="E28" s="16"/>
      <c r="F28" s="16">
        <f>F26-F23</f>
        <v>30265562</v>
      </c>
      <c r="G28" s="16"/>
      <c r="H28" s="16">
        <f>H26-H23</f>
        <v>103419064</v>
      </c>
      <c r="I28" s="16"/>
      <c r="J28" s="16">
        <f>J26-J23</f>
        <v>136301899.17000002</v>
      </c>
      <c r="K28" s="16"/>
      <c r="L28" s="16">
        <f>L26-L23</f>
        <v>180429833.18599999</v>
      </c>
      <c r="M28" s="3" t="s">
        <v>483</v>
      </c>
    </row>
    <row r="29" spans="1:13" x14ac:dyDescent="0.25">
      <c r="D29" s="30"/>
      <c r="E29" s="3"/>
      <c r="F29" s="30"/>
      <c r="G29" s="3"/>
      <c r="H29" s="30"/>
      <c r="I29" s="3"/>
      <c r="J29" s="30"/>
      <c r="K29" s="3"/>
      <c r="L29" s="30"/>
      <c r="M29" s="3"/>
    </row>
    <row r="30" spans="1:13" x14ac:dyDescent="0.25">
      <c r="A30" s="75" t="s">
        <v>404</v>
      </c>
      <c r="B30" s="75"/>
      <c r="C30" s="75"/>
      <c r="D30" s="75"/>
      <c r="E30" s="16">
        <v>1401271</v>
      </c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405</v>
      </c>
      <c r="B31" s="75"/>
      <c r="C31" s="75"/>
      <c r="D31" s="75"/>
      <c r="E31" s="16">
        <f>E30*1.1</f>
        <v>1541398.1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406</v>
      </c>
      <c r="B32" s="75"/>
      <c r="C32" s="75"/>
      <c r="D32" s="75"/>
      <c r="E32" s="16">
        <f>E31*1.1</f>
        <v>1695537.9100000001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407</v>
      </c>
      <c r="B33" s="75"/>
      <c r="C33" s="75"/>
      <c r="D33" s="75"/>
      <c r="E33" s="16">
        <f>E32*1.1</f>
        <v>1865091.7010000004</v>
      </c>
      <c r="F33" s="30"/>
      <c r="G33" s="3"/>
      <c r="H33" s="30"/>
      <c r="I33" s="3"/>
      <c r="J33" s="30"/>
      <c r="K33" s="3"/>
      <c r="L33" s="30"/>
      <c r="M33" s="3"/>
    </row>
  </sheetData>
  <mergeCells count="12">
    <mergeCell ref="A33:D33"/>
    <mergeCell ref="A1:M1"/>
    <mergeCell ref="A22:C22"/>
    <mergeCell ref="A23:C23"/>
    <mergeCell ref="A24:C24"/>
    <mergeCell ref="A25:C25"/>
    <mergeCell ref="A26:C26"/>
    <mergeCell ref="A27:C27"/>
    <mergeCell ref="A28:C28"/>
    <mergeCell ref="A30:D30"/>
    <mergeCell ref="A31:D31"/>
    <mergeCell ref="A32:D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D24A-156D-4E5C-875E-4F8187C4BFBB}">
  <dimension ref="A1:T34"/>
  <sheetViews>
    <sheetView workbookViewId="0">
      <pane ySplit="2" topLeftCell="A3" activePane="bottomLeft" state="frozen"/>
      <selection pane="bottomLeft" activeCell="P20" sqref="P20"/>
    </sheetView>
  </sheetViews>
  <sheetFormatPr defaultRowHeight="15" x14ac:dyDescent="0.25"/>
  <cols>
    <col min="1" max="1" width="24.14062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3.7109375" bestFit="1" customWidth="1"/>
    <col min="12" max="12" width="13.7109375" bestFit="1" customWidth="1"/>
    <col min="15" max="15" width="13.28515625" bestFit="1" customWidth="1"/>
    <col min="16" max="16" width="17.28515625" bestFit="1" customWidth="1"/>
    <col min="17" max="17" width="17.85546875" bestFit="1" customWidth="1"/>
    <col min="18" max="18" width="14.42578125" bestFit="1" customWidth="1"/>
    <col min="19" max="19" width="13.7109375" bestFit="1" customWidth="1"/>
    <col min="20" max="20" width="12.28515625" bestFit="1" customWidth="1"/>
  </cols>
  <sheetData>
    <row r="1" spans="1:20" x14ac:dyDescent="0.25">
      <c r="A1" s="75" t="s">
        <v>500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68" t="s">
        <v>270</v>
      </c>
      <c r="B3" s="6" t="s">
        <v>10</v>
      </c>
      <c r="C3" s="6">
        <v>31</v>
      </c>
      <c r="D3" s="7">
        <v>45550512</v>
      </c>
      <c r="E3" s="38">
        <v>0.29499999999999998</v>
      </c>
      <c r="F3" s="7">
        <v>48924624</v>
      </c>
      <c r="G3" s="38">
        <v>0.29499999999999998</v>
      </c>
      <c r="H3" s="7">
        <v>52298736</v>
      </c>
      <c r="I3" s="38">
        <v>0.3</v>
      </c>
      <c r="J3" s="10" t="s">
        <v>459</v>
      </c>
      <c r="K3" s="40">
        <v>0.39500000000000002</v>
      </c>
      <c r="L3" s="6"/>
      <c r="M3" s="6"/>
      <c r="O3" s="31" t="s">
        <v>484</v>
      </c>
    </row>
    <row r="4" spans="1:20" x14ac:dyDescent="0.25">
      <c r="A4" s="9" t="s">
        <v>271</v>
      </c>
      <c r="B4" s="6" t="s">
        <v>25</v>
      </c>
      <c r="C4" s="6">
        <v>25</v>
      </c>
      <c r="D4" s="7">
        <v>45550512</v>
      </c>
      <c r="E4" s="38">
        <v>0.29499999999999998</v>
      </c>
      <c r="F4" s="7">
        <v>48924624</v>
      </c>
      <c r="G4" s="38">
        <v>0.29499999999999998</v>
      </c>
      <c r="H4" s="7">
        <v>52298736</v>
      </c>
      <c r="I4" s="38">
        <v>0.3</v>
      </c>
      <c r="J4" s="7">
        <v>55672848</v>
      </c>
      <c r="K4" s="38">
        <v>0.30399999999999999</v>
      </c>
      <c r="L4" s="10" t="s">
        <v>98</v>
      </c>
      <c r="M4" s="40">
        <v>0.35299999999999998</v>
      </c>
      <c r="O4" s="32" t="s">
        <v>485</v>
      </c>
    </row>
    <row r="5" spans="1:20" x14ac:dyDescent="0.25">
      <c r="A5" s="9" t="s">
        <v>297</v>
      </c>
      <c r="B5" s="6" t="s">
        <v>18</v>
      </c>
      <c r="C5" s="6">
        <v>28</v>
      </c>
      <c r="D5" s="7">
        <v>18893980</v>
      </c>
      <c r="E5" s="38">
        <v>0.122</v>
      </c>
      <c r="F5" s="7">
        <v>20342140</v>
      </c>
      <c r="G5" s="38">
        <v>0.123</v>
      </c>
      <c r="H5" s="7">
        <v>21790300</v>
      </c>
      <c r="I5" s="38">
        <v>0.125</v>
      </c>
      <c r="J5" s="10" t="s">
        <v>273</v>
      </c>
      <c r="K5" s="40">
        <v>0.17199999999999999</v>
      </c>
      <c r="L5" s="6"/>
      <c r="M5" s="6"/>
      <c r="O5" s="33" t="s">
        <v>486</v>
      </c>
    </row>
    <row r="6" spans="1:20" x14ac:dyDescent="0.25">
      <c r="A6" s="9" t="s">
        <v>272</v>
      </c>
      <c r="B6" s="6" t="s">
        <v>25</v>
      </c>
      <c r="C6" s="6">
        <v>26</v>
      </c>
      <c r="D6" s="7">
        <v>18102000</v>
      </c>
      <c r="E6" s="38">
        <v>0.11700000000000001</v>
      </c>
      <c r="F6" s="7">
        <v>19550160</v>
      </c>
      <c r="G6" s="38">
        <v>0.11799999999999999</v>
      </c>
      <c r="H6" s="7">
        <v>20998320</v>
      </c>
      <c r="I6" s="38">
        <v>0.12</v>
      </c>
      <c r="J6" s="10" t="s">
        <v>273</v>
      </c>
      <c r="K6" s="40">
        <v>0.17199999999999999</v>
      </c>
      <c r="L6" s="6"/>
      <c r="M6" s="6"/>
      <c r="O6" s="34" t="s">
        <v>487</v>
      </c>
    </row>
    <row r="7" spans="1:20" x14ac:dyDescent="0.25">
      <c r="A7" s="9" t="s">
        <v>274</v>
      </c>
      <c r="B7" s="6" t="s">
        <v>10</v>
      </c>
      <c r="C7" s="6">
        <v>27</v>
      </c>
      <c r="D7" s="7">
        <v>14000000</v>
      </c>
      <c r="E7" s="38">
        <v>9.0999999999999998E-2</v>
      </c>
      <c r="F7" s="7">
        <v>15000000</v>
      </c>
      <c r="G7" s="38">
        <v>0.09</v>
      </c>
      <c r="H7" s="7">
        <v>16025000</v>
      </c>
      <c r="I7" s="38">
        <v>9.1999999999999998E-2</v>
      </c>
      <c r="J7" s="11" t="s">
        <v>21</v>
      </c>
      <c r="K7" s="40">
        <v>0.13500000000000001</v>
      </c>
      <c r="L7" s="6"/>
      <c r="M7" s="38"/>
    </row>
    <row r="8" spans="1:20" x14ac:dyDescent="0.25">
      <c r="A8" s="9" t="s">
        <v>275</v>
      </c>
      <c r="B8" s="6" t="s">
        <v>14</v>
      </c>
      <c r="C8" s="6">
        <v>26</v>
      </c>
      <c r="D8" s="7">
        <v>11000000</v>
      </c>
      <c r="E8" s="38">
        <v>7.0999999999999994E-2</v>
      </c>
      <c r="F8" s="7">
        <v>11000000</v>
      </c>
      <c r="G8" s="38">
        <v>6.6000000000000003E-2</v>
      </c>
      <c r="H8" s="7">
        <v>19418000</v>
      </c>
      <c r="I8" s="38">
        <v>0.111</v>
      </c>
      <c r="J8" s="7">
        <v>20971440</v>
      </c>
      <c r="K8" s="38">
        <v>0.115</v>
      </c>
      <c r="L8" s="10" t="s">
        <v>273</v>
      </c>
      <c r="M8" s="40">
        <v>0.16400000000000001</v>
      </c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276</v>
      </c>
      <c r="B9" s="6" t="s">
        <v>25</v>
      </c>
      <c r="C9" s="6">
        <v>33</v>
      </c>
      <c r="D9" s="7">
        <v>10200000</v>
      </c>
      <c r="E9" s="38">
        <v>6.6000000000000003E-2</v>
      </c>
      <c r="F9" s="7">
        <v>11000000</v>
      </c>
      <c r="G9" s="38">
        <v>6.6000000000000003E-2</v>
      </c>
      <c r="H9" s="7">
        <v>11800000</v>
      </c>
      <c r="I9" s="38">
        <v>6.8000000000000005E-2</v>
      </c>
      <c r="J9" s="13">
        <v>11800000</v>
      </c>
      <c r="K9" s="41">
        <v>6.4000000000000001E-2</v>
      </c>
      <c r="L9" s="10" t="s">
        <v>137</v>
      </c>
      <c r="M9" s="40">
        <v>0.11700000000000001</v>
      </c>
      <c r="O9" t="s">
        <v>488</v>
      </c>
      <c r="P9" s="9" t="s">
        <v>271</v>
      </c>
      <c r="Q9" s="9" t="s">
        <v>272</v>
      </c>
      <c r="R9" s="9" t="s">
        <v>275</v>
      </c>
      <c r="S9" s="9" t="s">
        <v>270</v>
      </c>
      <c r="T9" s="9" t="s">
        <v>297</v>
      </c>
    </row>
    <row r="10" spans="1:20" x14ac:dyDescent="0.25">
      <c r="A10" s="9" t="s">
        <v>281</v>
      </c>
      <c r="B10" s="6" t="s">
        <v>10</v>
      </c>
      <c r="C10" s="6">
        <v>22</v>
      </c>
      <c r="D10" s="7">
        <v>6665520</v>
      </c>
      <c r="E10" s="38">
        <v>4.2999999999999997E-2</v>
      </c>
      <c r="F10" s="7">
        <v>8478542</v>
      </c>
      <c r="G10" s="38">
        <v>5.0999999999999997E-2</v>
      </c>
      <c r="H10" s="15" t="s">
        <v>282</v>
      </c>
      <c r="I10" s="42">
        <v>0.14599999999999999</v>
      </c>
      <c r="J10" s="6"/>
      <c r="K10" s="38"/>
      <c r="L10" s="6"/>
      <c r="M10" s="6"/>
      <c r="O10" t="s">
        <v>489</v>
      </c>
      <c r="P10" s="9" t="s">
        <v>288</v>
      </c>
      <c r="Q10" s="9" t="s">
        <v>286</v>
      </c>
      <c r="R10" s="9" t="s">
        <v>283</v>
      </c>
      <c r="S10" s="9" t="s">
        <v>274</v>
      </c>
      <c r="T10" s="9" t="s">
        <v>285</v>
      </c>
    </row>
    <row r="11" spans="1:20" x14ac:dyDescent="0.25">
      <c r="A11" s="9" t="s">
        <v>283</v>
      </c>
      <c r="B11" s="6" t="s">
        <v>14</v>
      </c>
      <c r="C11" s="6">
        <v>24</v>
      </c>
      <c r="D11" s="7">
        <v>2790720</v>
      </c>
      <c r="E11" s="38">
        <v>1.7999999999999999E-2</v>
      </c>
      <c r="F11" s="7">
        <v>5031669</v>
      </c>
      <c r="G11" s="38">
        <v>0.03</v>
      </c>
      <c r="H11" s="12" t="s">
        <v>284</v>
      </c>
      <c r="I11" s="42">
        <v>8.6999999999999994E-2</v>
      </c>
      <c r="J11" s="6"/>
      <c r="K11" s="6"/>
      <c r="L11" s="6"/>
      <c r="M11" s="6"/>
      <c r="O11" t="s">
        <v>490</v>
      </c>
      <c r="P11" s="9" t="s">
        <v>291</v>
      </c>
      <c r="Q11" s="9" t="s">
        <v>289</v>
      </c>
      <c r="R11" s="9"/>
      <c r="S11" s="9" t="s">
        <v>281</v>
      </c>
      <c r="T11" s="9" t="s">
        <v>287</v>
      </c>
    </row>
    <row r="12" spans="1:20" x14ac:dyDescent="0.25">
      <c r="A12" s="9" t="s">
        <v>309</v>
      </c>
      <c r="B12" s="6" t="s">
        <v>10</v>
      </c>
      <c r="C12" s="6">
        <v>26</v>
      </c>
      <c r="D12" s="7">
        <v>2654880</v>
      </c>
      <c r="E12" s="38">
        <v>1.7000000000000001E-2</v>
      </c>
      <c r="F12" s="11" t="s">
        <v>310</v>
      </c>
      <c r="G12" s="40">
        <v>2.9000000000000001E-2</v>
      </c>
      <c r="H12" s="6"/>
      <c r="I12" s="38"/>
      <c r="J12" s="6"/>
      <c r="K12" s="6"/>
      <c r="L12" s="6"/>
      <c r="M12" s="6"/>
      <c r="Q12" s="9" t="s">
        <v>290</v>
      </c>
      <c r="S12" s="9" t="s">
        <v>309</v>
      </c>
    </row>
    <row r="13" spans="1:20" x14ac:dyDescent="0.25">
      <c r="A13" s="9" t="s">
        <v>285</v>
      </c>
      <c r="B13" s="6" t="s">
        <v>18</v>
      </c>
      <c r="C13" s="6">
        <v>27</v>
      </c>
      <c r="D13" s="7">
        <v>2349578</v>
      </c>
      <c r="E13" s="38">
        <v>1.4999999999999999E-2</v>
      </c>
      <c r="F13" s="7">
        <v>2667944</v>
      </c>
      <c r="G13" s="38">
        <v>1.6E-2</v>
      </c>
      <c r="H13" s="13">
        <v>3005085</v>
      </c>
      <c r="I13" s="41">
        <v>1.7000000000000001E-2</v>
      </c>
      <c r="J13" s="10" t="s">
        <v>120</v>
      </c>
      <c r="K13" s="40">
        <v>1.7000000000000001E-2</v>
      </c>
      <c r="L13" s="6"/>
      <c r="M13" s="6"/>
      <c r="S13" s="9" t="s">
        <v>460</v>
      </c>
    </row>
    <row r="14" spans="1:20" x14ac:dyDescent="0.25">
      <c r="A14" s="9" t="s">
        <v>286</v>
      </c>
      <c r="B14" s="6" t="s">
        <v>11</v>
      </c>
      <c r="C14" s="6">
        <v>21</v>
      </c>
      <c r="D14" s="7">
        <v>1955377</v>
      </c>
      <c r="E14" s="38">
        <v>1.2999999999999999E-2</v>
      </c>
      <c r="F14" s="7">
        <v>2296271</v>
      </c>
      <c r="G14" s="38">
        <v>1.4E-2</v>
      </c>
      <c r="H14" s="13">
        <v>2486995</v>
      </c>
      <c r="I14" s="41">
        <v>1.4E-2</v>
      </c>
      <c r="J14" s="10" t="s">
        <v>120</v>
      </c>
      <c r="K14" s="40">
        <v>1.7000000000000001E-2</v>
      </c>
      <c r="L14" s="6"/>
      <c r="M14" s="6"/>
    </row>
    <row r="15" spans="1:20" x14ac:dyDescent="0.25">
      <c r="A15" s="9" t="s">
        <v>287</v>
      </c>
      <c r="B15" s="6" t="s">
        <v>18</v>
      </c>
      <c r="C15" s="6">
        <v>27</v>
      </c>
      <c r="D15" s="7">
        <v>1527805</v>
      </c>
      <c r="E15" s="38">
        <v>0.01</v>
      </c>
      <c r="F15" s="13">
        <v>2801346</v>
      </c>
      <c r="G15" s="41">
        <v>1.7000000000000001E-2</v>
      </c>
      <c r="H15" s="10" t="s">
        <v>58</v>
      </c>
      <c r="I15" s="40">
        <v>1.4999999999999999E-2</v>
      </c>
      <c r="J15" s="6"/>
      <c r="K15" s="6"/>
      <c r="L15" s="6"/>
      <c r="M15" s="6"/>
    </row>
    <row r="16" spans="1:20" x14ac:dyDescent="0.25">
      <c r="A16" s="9" t="s">
        <v>288</v>
      </c>
      <c r="B16" s="6" t="s">
        <v>25</v>
      </c>
      <c r="C16" s="6">
        <v>23</v>
      </c>
      <c r="D16" s="7">
        <v>1272870</v>
      </c>
      <c r="E16" s="38">
        <v>8.0000000000000002E-3</v>
      </c>
      <c r="F16" s="7">
        <v>2150917</v>
      </c>
      <c r="G16" s="38">
        <v>1.2999999999999999E-2</v>
      </c>
      <c r="H16" s="7">
        <v>2525901</v>
      </c>
      <c r="I16" s="38">
        <v>1.4E-2</v>
      </c>
      <c r="J16" s="13">
        <v>2735698</v>
      </c>
      <c r="K16" s="41">
        <v>1.4999999999999999E-2</v>
      </c>
      <c r="L16" s="10" t="s">
        <v>32</v>
      </c>
      <c r="M16" s="40">
        <v>1.6E-2</v>
      </c>
    </row>
    <row r="17" spans="1:13" x14ac:dyDescent="0.25">
      <c r="A17" s="9" t="s">
        <v>291</v>
      </c>
      <c r="B17" s="6" t="s">
        <v>29</v>
      </c>
      <c r="C17" s="6">
        <v>27</v>
      </c>
      <c r="D17" s="7">
        <v>601553</v>
      </c>
      <c r="E17" s="38">
        <v>4.0000000000000001E-3</v>
      </c>
      <c r="F17" s="7">
        <v>2584539</v>
      </c>
      <c r="G17" s="38">
        <v>1.6E-2</v>
      </c>
      <c r="H17" s="7">
        <v>2934742</v>
      </c>
      <c r="I17" s="38">
        <v>1.7000000000000001E-2</v>
      </c>
      <c r="J17" s="10" t="s">
        <v>375</v>
      </c>
      <c r="K17" s="40">
        <v>1.4999999999999999E-2</v>
      </c>
      <c r="L17" s="6"/>
      <c r="M17" s="6"/>
    </row>
    <row r="18" spans="1:13" x14ac:dyDescent="0.25">
      <c r="A18" s="9" t="s">
        <v>289</v>
      </c>
      <c r="B18" s="6" t="s">
        <v>11</v>
      </c>
      <c r="C18" s="6">
        <v>26</v>
      </c>
      <c r="D18" s="7" t="s">
        <v>63</v>
      </c>
      <c r="E18" s="38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460</v>
      </c>
      <c r="B19" s="6" t="s">
        <v>10</v>
      </c>
      <c r="C19" s="6">
        <v>26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290</v>
      </c>
      <c r="B20" s="6" t="s">
        <v>29</v>
      </c>
      <c r="C20" s="6">
        <v>23</v>
      </c>
      <c r="D20" s="6" t="s">
        <v>63</v>
      </c>
      <c r="E20" s="6"/>
      <c r="F20" s="6" t="s">
        <v>63</v>
      </c>
      <c r="G20" s="6"/>
      <c r="H20" s="12" t="s">
        <v>64</v>
      </c>
      <c r="I20" s="42">
        <v>1.2999999999999999E-2</v>
      </c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183115307</v>
      </c>
      <c r="E23" s="29"/>
      <c r="F23" s="16">
        <f>SUM(F3:F11,F13:F14,F16:F17)</f>
        <v>197951430</v>
      </c>
      <c r="G23" s="17"/>
      <c r="H23" s="16">
        <f>SUM(H3:H9,H16:H17)</f>
        <v>200089735</v>
      </c>
      <c r="I23" s="17"/>
      <c r="J23" s="16">
        <f>SUM(J4,J8)</f>
        <v>76644288</v>
      </c>
      <c r="K23" s="17"/>
      <c r="L23" s="16">
        <f>SUM(L4,L12)</f>
        <v>0</v>
      </c>
    </row>
    <row r="24" spans="1:13" x14ac:dyDescent="0.25">
      <c r="A24" s="71" t="s">
        <v>66</v>
      </c>
      <c r="B24" s="72"/>
      <c r="C24" s="73"/>
      <c r="D24" s="16">
        <f>D23</f>
        <v>183115307</v>
      </c>
      <c r="E24" s="17"/>
      <c r="F24" s="16">
        <f>F23+E31*2</f>
        <v>200753972</v>
      </c>
      <c r="G24" s="17"/>
      <c r="H24" s="16">
        <f>H23+E32*6</f>
        <v>209338123.59999999</v>
      </c>
      <c r="I24" s="17"/>
      <c r="J24" s="16">
        <f>J23+E33*13</f>
        <v>98686280.829999998</v>
      </c>
      <c r="K24" s="16"/>
      <c r="L24" s="16">
        <f>L23+E34*15</f>
        <v>27976375.515000004</v>
      </c>
    </row>
    <row r="25" spans="1:13" x14ac:dyDescent="0.25">
      <c r="A25" s="71" t="s">
        <v>67</v>
      </c>
      <c r="B25" s="72"/>
      <c r="C25" s="73"/>
      <c r="D25" s="16">
        <f>D24</f>
        <v>183115307</v>
      </c>
      <c r="E25" s="17"/>
      <c r="F25" s="16">
        <f>F23+F15</f>
        <v>200752776</v>
      </c>
      <c r="G25" s="17"/>
      <c r="H25" s="16">
        <f>H23+H13+H14</f>
        <v>205581815</v>
      </c>
      <c r="I25" s="17"/>
      <c r="J25" s="16">
        <f>J23+J16+J9</f>
        <v>91179986</v>
      </c>
      <c r="K25" s="17"/>
      <c r="L25" s="16">
        <f>L23</f>
        <v>0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</row>
    <row r="28" spans="1:13" x14ac:dyDescent="0.25">
      <c r="A28" s="71" t="s">
        <v>70</v>
      </c>
      <c r="B28" s="72"/>
      <c r="C28" s="73"/>
      <c r="D28" s="16">
        <f>D26-D24</f>
        <v>-28468307</v>
      </c>
      <c r="E28" s="16"/>
      <c r="F28" s="16">
        <f>F26-F24</f>
        <v>-35753972</v>
      </c>
      <c r="G28" s="16"/>
      <c r="H28" s="16">
        <f>H26-H24</f>
        <v>-36088123.599999994</v>
      </c>
      <c r="I28" s="16"/>
      <c r="J28" s="16">
        <f>J26-J24</f>
        <v>83226719.170000002</v>
      </c>
      <c r="K28" s="16"/>
      <c r="L28" s="16">
        <f>L26-L24</f>
        <v>163032624.48499998</v>
      </c>
    </row>
    <row r="29" spans="1:13" x14ac:dyDescent="0.25">
      <c r="A29" s="74" t="s">
        <v>71</v>
      </c>
      <c r="B29" s="74"/>
      <c r="C29" s="74"/>
      <c r="D29" s="16">
        <f>D27-D24</f>
        <v>4779693</v>
      </c>
      <c r="E29" s="16"/>
      <c r="F29" s="16">
        <f>F27-F24</f>
        <v>-753972</v>
      </c>
      <c r="G29" s="16"/>
      <c r="H29" s="16">
        <f>H27-H24</f>
        <v>1160876.400000006</v>
      </c>
      <c r="I29" s="16"/>
      <c r="J29" s="16">
        <f>J27-J24</f>
        <v>122337719.17</v>
      </c>
      <c r="K29" s="16"/>
      <c r="L29" s="16">
        <f>L27-L24</f>
        <v>204099624.48499998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</row>
    <row r="33" spans="1:12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</row>
    <row r="34" spans="1:12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EDD2-63DC-42ED-B0A3-CE4D9F35EC85}">
  <dimension ref="A1:T34"/>
  <sheetViews>
    <sheetView workbookViewId="0">
      <pane ySplit="2" topLeftCell="A3" activePane="bottomLeft" state="frozen"/>
      <selection pane="bottomLeft" activeCell="Q20" sqref="Q20"/>
    </sheetView>
  </sheetViews>
  <sheetFormatPr defaultRowHeight="15" x14ac:dyDescent="0.25"/>
  <cols>
    <col min="1" max="1" width="24.8554687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3.7109375" bestFit="1" customWidth="1"/>
    <col min="12" max="12" width="13.7109375" bestFit="1" customWidth="1"/>
    <col min="15" max="15" width="13.28515625" bestFit="1" customWidth="1"/>
    <col min="16" max="16" width="14.42578125" bestFit="1" customWidth="1"/>
    <col min="17" max="17" width="18.85546875" bestFit="1" customWidth="1"/>
    <col min="18" max="18" width="15.7109375" bestFit="1" customWidth="1"/>
    <col min="19" max="19" width="25" bestFit="1" customWidth="1"/>
    <col min="20" max="20" width="13.85546875" bestFit="1" customWidth="1"/>
  </cols>
  <sheetData>
    <row r="1" spans="1:20" x14ac:dyDescent="0.25">
      <c r="A1" s="75" t="s">
        <v>501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292</v>
      </c>
      <c r="B3" s="6" t="s">
        <v>14</v>
      </c>
      <c r="C3" s="6">
        <v>34</v>
      </c>
      <c r="D3" s="7">
        <v>50000000</v>
      </c>
      <c r="E3" s="38">
        <v>0.32300000000000001</v>
      </c>
      <c r="F3" s="7">
        <v>50300000</v>
      </c>
      <c r="G3" s="38">
        <v>0.30299999999999999</v>
      </c>
      <c r="H3" s="10" t="s">
        <v>293</v>
      </c>
      <c r="I3" s="40">
        <v>0.38</v>
      </c>
      <c r="J3" s="6"/>
      <c r="K3" s="6"/>
      <c r="L3" s="6"/>
      <c r="M3" s="6"/>
      <c r="O3" s="31" t="s">
        <v>484</v>
      </c>
    </row>
    <row r="4" spans="1:20" x14ac:dyDescent="0.25">
      <c r="A4" s="9" t="s">
        <v>149</v>
      </c>
      <c r="B4" s="6" t="s">
        <v>25</v>
      </c>
      <c r="C4" s="6">
        <v>26</v>
      </c>
      <c r="D4" s="7">
        <v>39446090</v>
      </c>
      <c r="E4" s="38">
        <v>0.255</v>
      </c>
      <c r="F4" s="7">
        <v>42166510</v>
      </c>
      <c r="G4" s="38">
        <v>0.254</v>
      </c>
      <c r="H4" s="7">
        <v>44886930</v>
      </c>
      <c r="I4" s="38">
        <v>0.25800000000000001</v>
      </c>
      <c r="J4" s="10" t="s">
        <v>461</v>
      </c>
      <c r="K4" s="40">
        <v>0.29399999999999998</v>
      </c>
      <c r="L4" s="6"/>
      <c r="M4" s="6"/>
      <c r="O4" s="32" t="s">
        <v>485</v>
      </c>
    </row>
    <row r="5" spans="1:20" x14ac:dyDescent="0.25">
      <c r="A5" s="9" t="s">
        <v>295</v>
      </c>
      <c r="B5" s="6" t="s">
        <v>10</v>
      </c>
      <c r="C5" s="6">
        <v>28</v>
      </c>
      <c r="D5" s="7">
        <v>26580000</v>
      </c>
      <c r="E5" s="38">
        <v>0.17199999999999999</v>
      </c>
      <c r="F5" s="10" t="s">
        <v>296</v>
      </c>
      <c r="G5" s="40">
        <v>0.24</v>
      </c>
      <c r="H5" s="6"/>
      <c r="I5" s="6"/>
      <c r="J5" s="6"/>
      <c r="K5" s="6"/>
      <c r="L5" s="6"/>
      <c r="M5" s="6"/>
      <c r="O5" s="33" t="s">
        <v>486</v>
      </c>
    </row>
    <row r="6" spans="1:20" x14ac:dyDescent="0.25">
      <c r="A6" s="9" t="s">
        <v>298</v>
      </c>
      <c r="B6" s="6" t="s">
        <v>11</v>
      </c>
      <c r="C6" s="6">
        <v>33</v>
      </c>
      <c r="D6" s="7">
        <v>16020000</v>
      </c>
      <c r="E6" s="38">
        <v>0.104</v>
      </c>
      <c r="F6" s="13">
        <v>16020000</v>
      </c>
      <c r="G6" s="41">
        <v>9.7000000000000003E-2</v>
      </c>
      <c r="H6" s="11" t="s">
        <v>77</v>
      </c>
      <c r="I6" s="40">
        <v>0.13800000000000001</v>
      </c>
      <c r="J6" s="6"/>
      <c r="K6" s="38"/>
      <c r="L6" s="6"/>
      <c r="M6" s="6"/>
      <c r="O6" s="34" t="s">
        <v>487</v>
      </c>
    </row>
    <row r="7" spans="1:20" x14ac:dyDescent="0.25">
      <c r="A7" s="9" t="s">
        <v>299</v>
      </c>
      <c r="B7" s="6" t="s">
        <v>14</v>
      </c>
      <c r="C7" s="6">
        <v>28</v>
      </c>
      <c r="D7" s="7">
        <v>10000000</v>
      </c>
      <c r="E7" s="38">
        <v>6.5000000000000002E-2</v>
      </c>
      <c r="F7" s="7">
        <v>10476190</v>
      </c>
      <c r="G7" s="38">
        <v>6.3E-2</v>
      </c>
      <c r="H7" s="10" t="s">
        <v>300</v>
      </c>
      <c r="I7" s="40">
        <v>0.114</v>
      </c>
      <c r="J7" s="6"/>
      <c r="K7" s="6"/>
      <c r="L7" s="6"/>
      <c r="M7" s="6"/>
    </row>
    <row r="8" spans="1:20" x14ac:dyDescent="0.25">
      <c r="A8" s="9" t="s">
        <v>277</v>
      </c>
      <c r="B8" s="6" t="s">
        <v>11</v>
      </c>
      <c r="C8" s="6">
        <v>23</v>
      </c>
      <c r="D8" s="7">
        <v>9187573</v>
      </c>
      <c r="E8" s="38">
        <v>5.8999999999999997E-2</v>
      </c>
      <c r="F8" s="15" t="s">
        <v>278</v>
      </c>
      <c r="G8" s="42">
        <v>0.16600000000000001</v>
      </c>
      <c r="H8" s="6"/>
      <c r="I8" s="38"/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301</v>
      </c>
      <c r="B9" s="6" t="s">
        <v>18</v>
      </c>
      <c r="C9" s="6">
        <v>37</v>
      </c>
      <c r="D9" s="7">
        <v>8750000</v>
      </c>
      <c r="E9" s="38">
        <v>5.7000000000000002E-2</v>
      </c>
      <c r="F9" s="13">
        <v>9187500</v>
      </c>
      <c r="G9" s="41">
        <v>5.5E-2</v>
      </c>
      <c r="H9" s="10" t="s">
        <v>81</v>
      </c>
      <c r="I9" s="40">
        <v>6.9000000000000006E-2</v>
      </c>
      <c r="J9" s="6"/>
      <c r="K9" s="6"/>
      <c r="L9" s="6"/>
      <c r="M9" s="6"/>
      <c r="O9" t="s">
        <v>488</v>
      </c>
      <c r="P9" s="9" t="s">
        <v>149</v>
      </c>
      <c r="Q9" s="9" t="s">
        <v>277</v>
      </c>
      <c r="R9" s="9" t="s">
        <v>292</v>
      </c>
      <c r="S9" s="9" t="s">
        <v>295</v>
      </c>
      <c r="T9" s="9" t="s">
        <v>301</v>
      </c>
    </row>
    <row r="10" spans="1:20" x14ac:dyDescent="0.25">
      <c r="A10" s="9" t="s">
        <v>279</v>
      </c>
      <c r="B10" s="6" t="s">
        <v>10</v>
      </c>
      <c r="C10" s="6">
        <v>24</v>
      </c>
      <c r="D10" s="7">
        <v>7600000</v>
      </c>
      <c r="E10" s="38">
        <v>4.9000000000000002E-2</v>
      </c>
      <c r="F10" s="7">
        <v>7000000</v>
      </c>
      <c r="G10" s="38">
        <v>4.2000000000000003E-2</v>
      </c>
      <c r="H10" s="7">
        <v>6400000</v>
      </c>
      <c r="I10" s="38">
        <v>3.6999999999999998E-2</v>
      </c>
      <c r="J10" s="10" t="s">
        <v>280</v>
      </c>
      <c r="K10" s="40">
        <v>6.6000000000000003E-2</v>
      </c>
      <c r="L10" s="6"/>
      <c r="M10" s="6"/>
      <c r="O10" t="s">
        <v>489</v>
      </c>
      <c r="P10" s="9" t="s">
        <v>304</v>
      </c>
      <c r="Q10" s="9" t="s">
        <v>298</v>
      </c>
      <c r="R10" s="9" t="s">
        <v>299</v>
      </c>
      <c r="S10" s="9" t="s">
        <v>307</v>
      </c>
      <c r="T10" s="9" t="s">
        <v>279</v>
      </c>
    </row>
    <row r="11" spans="1:20" x14ac:dyDescent="0.25">
      <c r="A11" s="9" t="s">
        <v>302</v>
      </c>
      <c r="B11" s="6" t="s">
        <v>14</v>
      </c>
      <c r="C11" s="6">
        <v>37</v>
      </c>
      <c r="D11" s="7">
        <v>5601600</v>
      </c>
      <c r="E11" s="38">
        <v>3.5999999999999997E-2</v>
      </c>
      <c r="F11" s="13">
        <v>5881680</v>
      </c>
      <c r="G11" s="41">
        <v>3.5000000000000003E-2</v>
      </c>
      <c r="H11" s="10" t="s">
        <v>303</v>
      </c>
      <c r="I11" s="40">
        <v>6.4000000000000001E-2</v>
      </c>
      <c r="J11" s="6"/>
      <c r="K11" s="6"/>
      <c r="L11" s="6"/>
      <c r="M11" s="6"/>
      <c r="O11" t="s">
        <v>490</v>
      </c>
      <c r="P11" s="9" t="s">
        <v>313</v>
      </c>
      <c r="Q11" s="9" t="s">
        <v>305</v>
      </c>
      <c r="R11" s="9" t="s">
        <v>302</v>
      </c>
      <c r="S11" s="9" t="s">
        <v>463</v>
      </c>
      <c r="T11" s="9"/>
    </row>
    <row r="12" spans="1:20" x14ac:dyDescent="0.25">
      <c r="A12" s="9" t="s">
        <v>304</v>
      </c>
      <c r="B12" s="6" t="s">
        <v>25</v>
      </c>
      <c r="C12" s="6">
        <v>31</v>
      </c>
      <c r="D12" s="7">
        <v>5426400</v>
      </c>
      <c r="E12" s="38">
        <v>3.5000000000000003E-2</v>
      </c>
      <c r="F12" s="69">
        <v>5684800</v>
      </c>
      <c r="G12" s="1">
        <v>3.4500000000000003E-2</v>
      </c>
      <c r="H12" s="11" t="s">
        <v>351</v>
      </c>
      <c r="I12" s="40"/>
      <c r="J12" s="6"/>
      <c r="K12" s="6"/>
      <c r="L12" s="6"/>
      <c r="M12" s="6"/>
      <c r="P12" s="9" t="s">
        <v>312</v>
      </c>
      <c r="Q12" s="9" t="s">
        <v>311</v>
      </c>
      <c r="R12" s="9" t="s">
        <v>314</v>
      </c>
    </row>
    <row r="13" spans="1:20" x14ac:dyDescent="0.25">
      <c r="A13" s="9" t="s">
        <v>305</v>
      </c>
      <c r="B13" s="6" t="s">
        <v>11</v>
      </c>
      <c r="C13" s="6">
        <v>32</v>
      </c>
      <c r="D13" s="7">
        <v>5354000</v>
      </c>
      <c r="E13" s="38">
        <v>3.5000000000000003E-2</v>
      </c>
      <c r="F13" s="14">
        <v>5621700</v>
      </c>
      <c r="G13" s="39">
        <v>3.4000000000000002E-2</v>
      </c>
      <c r="H13" s="11" t="s">
        <v>306</v>
      </c>
      <c r="I13" s="40">
        <v>4.2000000000000003E-2</v>
      </c>
      <c r="J13" s="7"/>
      <c r="K13" s="38"/>
      <c r="L13" s="6"/>
      <c r="M13" s="38"/>
      <c r="Q13" s="9" t="s">
        <v>462</v>
      </c>
    </row>
    <row r="14" spans="1:20" x14ac:dyDescent="0.25">
      <c r="A14" s="9" t="s">
        <v>307</v>
      </c>
      <c r="B14" s="6" t="s">
        <v>82</v>
      </c>
      <c r="C14" s="6">
        <v>22</v>
      </c>
      <c r="D14" s="7">
        <v>2743800</v>
      </c>
      <c r="E14" s="38">
        <v>1.7999999999999999E-2</v>
      </c>
      <c r="F14" s="7">
        <v>2880960</v>
      </c>
      <c r="G14" s="38">
        <v>1.7000000000000001E-2</v>
      </c>
      <c r="H14" s="13">
        <v>3018480</v>
      </c>
      <c r="I14" s="41">
        <v>1.7000000000000001E-2</v>
      </c>
      <c r="J14" s="13">
        <v>5448356</v>
      </c>
      <c r="K14" s="41">
        <v>0.03</v>
      </c>
      <c r="L14" s="12" t="s">
        <v>308</v>
      </c>
      <c r="M14" s="42">
        <v>8.5000000000000006E-2</v>
      </c>
    </row>
    <row r="15" spans="1:20" x14ac:dyDescent="0.25">
      <c r="A15" s="9" t="s">
        <v>311</v>
      </c>
      <c r="B15" s="6" t="s">
        <v>11</v>
      </c>
      <c r="C15" s="6">
        <v>20</v>
      </c>
      <c r="D15" s="7">
        <v>1955377</v>
      </c>
      <c r="E15" s="38">
        <v>1.2999999999999999E-2</v>
      </c>
      <c r="F15" s="7">
        <v>2296271</v>
      </c>
      <c r="G15" s="38">
        <v>1.4E-2</v>
      </c>
      <c r="H15" s="13">
        <v>2486995</v>
      </c>
      <c r="I15" s="41">
        <v>1.4E-2</v>
      </c>
      <c r="J15" s="10" t="s">
        <v>120</v>
      </c>
      <c r="K15" s="40">
        <v>1.7000000000000001E-2</v>
      </c>
      <c r="L15" s="6"/>
      <c r="M15" s="6"/>
    </row>
    <row r="16" spans="1:20" x14ac:dyDescent="0.25">
      <c r="A16" s="9" t="s">
        <v>314</v>
      </c>
      <c r="B16" s="6" t="s">
        <v>14</v>
      </c>
      <c r="C16" s="6">
        <v>26</v>
      </c>
      <c r="D16" s="7">
        <v>712637</v>
      </c>
      <c r="E16" s="38">
        <v>5.0000000000000001E-3</v>
      </c>
      <c r="F16" s="13">
        <v>2497812</v>
      </c>
      <c r="G16" s="41">
        <v>1.4999999999999999E-2</v>
      </c>
      <c r="H16" s="15" t="s">
        <v>455</v>
      </c>
      <c r="I16" s="42">
        <v>7.0000000000000001E-3</v>
      </c>
      <c r="J16" s="6"/>
      <c r="K16" s="38"/>
      <c r="L16" s="6"/>
      <c r="M16" s="6"/>
    </row>
    <row r="17" spans="1:13" x14ac:dyDescent="0.25">
      <c r="A17" s="9" t="s">
        <v>313</v>
      </c>
      <c r="B17" s="6" t="s">
        <v>29</v>
      </c>
      <c r="C17" s="6">
        <v>23</v>
      </c>
      <c r="D17" s="7">
        <v>475497</v>
      </c>
      <c r="E17" s="38">
        <v>3.0000000000000001E-3</v>
      </c>
      <c r="F17" s="13">
        <v>2150917</v>
      </c>
      <c r="G17" s="41">
        <v>1.2999999999999999E-2</v>
      </c>
      <c r="H17" s="12" t="s">
        <v>409</v>
      </c>
      <c r="I17" s="42">
        <v>1.6E-2</v>
      </c>
      <c r="J17" s="6"/>
      <c r="K17" s="6"/>
      <c r="L17" s="6"/>
      <c r="M17" s="6"/>
    </row>
    <row r="18" spans="1:13" x14ac:dyDescent="0.25">
      <c r="A18" s="9" t="s">
        <v>312</v>
      </c>
      <c r="B18" s="6" t="s">
        <v>25</v>
      </c>
      <c r="C18" s="6">
        <v>24</v>
      </c>
      <c r="D18" s="6" t="s">
        <v>63</v>
      </c>
      <c r="E18" s="6"/>
      <c r="F18" s="12" t="s">
        <v>64</v>
      </c>
      <c r="G18" s="42">
        <v>1.2999999999999999E-2</v>
      </c>
      <c r="I18" s="38"/>
      <c r="J18" s="6"/>
      <c r="K18" s="6"/>
      <c r="L18" s="6"/>
      <c r="M18" s="6"/>
    </row>
    <row r="19" spans="1:13" x14ac:dyDescent="0.25">
      <c r="A19" s="9" t="s">
        <v>462</v>
      </c>
      <c r="B19" s="6" t="s">
        <v>29</v>
      </c>
      <c r="C19" s="6">
        <v>23</v>
      </c>
      <c r="D19" s="6" t="s">
        <v>63</v>
      </c>
      <c r="E19" s="6"/>
      <c r="F19" s="42" t="s">
        <v>64</v>
      </c>
      <c r="G19" s="42">
        <v>1.2999999999999999E-2</v>
      </c>
      <c r="I19" s="6"/>
      <c r="J19" s="6"/>
      <c r="K19" s="6"/>
      <c r="L19" s="6"/>
      <c r="M19" s="6"/>
    </row>
    <row r="20" spans="1:13" x14ac:dyDescent="0.25">
      <c r="A20" s="9" t="s">
        <v>463</v>
      </c>
      <c r="B20" s="6" t="s">
        <v>82</v>
      </c>
      <c r="C20" s="6">
        <v>24</v>
      </c>
      <c r="D20" s="6" t="s">
        <v>63</v>
      </c>
      <c r="E20" s="6"/>
      <c r="F20" s="6"/>
      <c r="G20" s="6"/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189852974</v>
      </c>
      <c r="E23" s="29"/>
      <c r="F23" s="16">
        <f>SUM(F3:F4,F7,F10,F12,F14,F15)</f>
        <v>120804731</v>
      </c>
      <c r="G23" s="17"/>
      <c r="H23" s="16">
        <f>SUM(H4,H10)</f>
        <v>51286930</v>
      </c>
      <c r="I23" s="17"/>
      <c r="J23" s="16">
        <f>SUM(J3)</f>
        <v>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189852974</v>
      </c>
      <c r="E24" s="17"/>
      <c r="F24" s="16">
        <f>F23+E31*8</f>
        <v>132014899</v>
      </c>
      <c r="G24" s="17"/>
      <c r="H24" s="16">
        <f>H23+E32*13</f>
        <v>71325105.299999997</v>
      </c>
      <c r="I24" s="17"/>
      <c r="J24" s="16">
        <f>J23+E33*15</f>
        <v>25433068.650000002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189852974</v>
      </c>
      <c r="E25" s="17"/>
      <c r="F25" s="16">
        <f>F23+F6+F9+F11+F13+F16+F17</f>
        <v>162164340</v>
      </c>
      <c r="G25" s="17"/>
      <c r="H25" s="16">
        <f>H23+H14+H15</f>
        <v>56792405</v>
      </c>
      <c r="I25" s="17"/>
      <c r="J25" s="16">
        <f>J23+J14</f>
        <v>5448356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-35205974</v>
      </c>
      <c r="E28" s="16"/>
      <c r="F28" s="16">
        <f>F26-F24</f>
        <v>32985101</v>
      </c>
      <c r="G28" s="16"/>
      <c r="H28" s="16">
        <f>H26-H24</f>
        <v>101924894.7</v>
      </c>
      <c r="I28" s="16"/>
      <c r="J28" s="16">
        <f>J26-J24</f>
        <v>156479931.34999999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-1957974</v>
      </c>
      <c r="E29" s="16"/>
      <c r="F29" s="16">
        <f>F27-F24</f>
        <v>67985101</v>
      </c>
      <c r="G29" s="16"/>
      <c r="H29" s="16">
        <f>H27-H24</f>
        <v>139173894.69999999</v>
      </c>
      <c r="I29" s="16"/>
      <c r="J29" s="16">
        <f>J27-J24</f>
        <v>195590931.34999999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3:D33"/>
    <mergeCell ref="A34:D34"/>
    <mergeCell ref="A27:C27"/>
    <mergeCell ref="A28:C28"/>
    <mergeCell ref="A29:C29"/>
    <mergeCell ref="A31:D31"/>
    <mergeCell ref="A32:D32"/>
    <mergeCell ref="A1:M1"/>
    <mergeCell ref="A23:C23"/>
    <mergeCell ref="A24:C24"/>
    <mergeCell ref="A25:C25"/>
    <mergeCell ref="A26: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D0FA-575B-430D-B162-E8F73FA25556}">
  <dimension ref="A1:W34"/>
  <sheetViews>
    <sheetView workbookViewId="0">
      <pane ySplit="2" topLeftCell="A3" activePane="bottomLeft" state="frozen"/>
      <selection pane="bottomLeft" activeCell="P18" sqref="P18"/>
    </sheetView>
  </sheetViews>
  <sheetFormatPr defaultRowHeight="15" x14ac:dyDescent="0.25"/>
  <cols>
    <col min="1" max="1" width="23.710937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1.85546875" bestFit="1" customWidth="1"/>
    <col min="17" max="17" width="13.85546875" bestFit="1" customWidth="1"/>
    <col min="18" max="18" width="13.42578125" bestFit="1" customWidth="1"/>
    <col min="19" max="19" width="14.28515625" bestFit="1" customWidth="1"/>
    <col min="20" max="20" width="14.42578125" bestFit="1" customWidth="1"/>
  </cols>
  <sheetData>
    <row r="1" spans="1:23" x14ac:dyDescent="0.25">
      <c r="A1" s="75" t="s">
        <v>502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3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3" x14ac:dyDescent="0.25">
      <c r="A3" s="9" t="s">
        <v>315</v>
      </c>
      <c r="B3" s="6" t="s">
        <v>10</v>
      </c>
      <c r="C3" s="6">
        <v>41</v>
      </c>
      <c r="D3" s="7">
        <v>52627153</v>
      </c>
      <c r="E3" s="38">
        <v>0.34</v>
      </c>
      <c r="F3" s="10" t="s">
        <v>316</v>
      </c>
      <c r="G3" s="40">
        <v>0.35899999999999999</v>
      </c>
      <c r="H3" s="6"/>
      <c r="I3" s="6"/>
      <c r="J3" s="6"/>
      <c r="K3" s="6"/>
      <c r="L3" s="6"/>
      <c r="M3" s="6"/>
      <c r="O3" s="31" t="s">
        <v>484</v>
      </c>
    </row>
    <row r="4" spans="1:23" x14ac:dyDescent="0.25">
      <c r="A4" s="9" t="s">
        <v>464</v>
      </c>
      <c r="B4" s="6" t="s">
        <v>25</v>
      </c>
      <c r="C4" s="6">
        <v>26</v>
      </c>
      <c r="D4" s="7">
        <v>45999660</v>
      </c>
      <c r="E4" s="38">
        <v>0.29699999999999999</v>
      </c>
      <c r="F4" s="7">
        <v>49800000</v>
      </c>
      <c r="G4" s="38">
        <v>0.3</v>
      </c>
      <c r="H4" s="7">
        <v>53784000</v>
      </c>
      <c r="I4" s="38">
        <v>0.309</v>
      </c>
      <c r="J4" s="14">
        <v>57768000</v>
      </c>
      <c r="K4" s="39">
        <v>0.316</v>
      </c>
      <c r="L4" s="10" t="s">
        <v>317</v>
      </c>
      <c r="M4" s="40">
        <v>0.35</v>
      </c>
      <c r="O4" s="32" t="s">
        <v>485</v>
      </c>
    </row>
    <row r="5" spans="1:23" x14ac:dyDescent="0.25">
      <c r="A5" s="9" t="s">
        <v>318</v>
      </c>
      <c r="B5" s="6" t="s">
        <v>10</v>
      </c>
      <c r="C5" s="6">
        <v>27</v>
      </c>
      <c r="D5" s="7">
        <v>18259259</v>
      </c>
      <c r="E5" s="38">
        <v>0.11799999999999999</v>
      </c>
      <c r="F5" s="10" t="s">
        <v>319</v>
      </c>
      <c r="G5" s="40">
        <v>0.16500000000000001</v>
      </c>
      <c r="H5" s="6"/>
      <c r="I5" s="6"/>
      <c r="J5" s="6"/>
      <c r="K5" s="6"/>
      <c r="L5" s="6"/>
      <c r="M5" s="6"/>
      <c r="O5" s="33" t="s">
        <v>486</v>
      </c>
    </row>
    <row r="6" spans="1:23" x14ac:dyDescent="0.25">
      <c r="A6" s="9" t="s">
        <v>320</v>
      </c>
      <c r="B6" s="6" t="s">
        <v>11</v>
      </c>
      <c r="C6" s="6">
        <v>27</v>
      </c>
      <c r="D6" s="7">
        <v>13937574</v>
      </c>
      <c r="E6" s="38">
        <v>0.09</v>
      </c>
      <c r="F6" s="14">
        <v>14898786</v>
      </c>
      <c r="G6" s="39">
        <v>0.09</v>
      </c>
      <c r="H6" s="10" t="s">
        <v>465</v>
      </c>
      <c r="I6" s="40">
        <v>0.128</v>
      </c>
      <c r="J6" s="6"/>
      <c r="K6" s="6"/>
      <c r="L6" s="6"/>
      <c r="M6" s="6"/>
      <c r="O6" s="34" t="s">
        <v>487</v>
      </c>
    </row>
    <row r="7" spans="1:23" x14ac:dyDescent="0.25">
      <c r="A7" s="9" t="s">
        <v>321</v>
      </c>
      <c r="B7" s="6" t="s">
        <v>10</v>
      </c>
      <c r="C7" s="6">
        <v>26</v>
      </c>
      <c r="D7" s="7">
        <v>11571429</v>
      </c>
      <c r="E7" s="38">
        <v>7.4999999999999997E-2</v>
      </c>
      <c r="F7" s="7">
        <v>12428571</v>
      </c>
      <c r="G7" s="38">
        <v>7.4999999999999997E-2</v>
      </c>
      <c r="H7" s="14">
        <v>13285714</v>
      </c>
      <c r="I7" s="39">
        <v>7.5999999999999998E-2</v>
      </c>
      <c r="J7" s="10" t="s">
        <v>300</v>
      </c>
      <c r="K7" s="40">
        <v>0.109</v>
      </c>
      <c r="L7" s="6"/>
      <c r="M7" s="6"/>
    </row>
    <row r="8" spans="1:23" x14ac:dyDescent="0.25">
      <c r="A8" s="9" t="s">
        <v>324</v>
      </c>
      <c r="B8" s="6" t="s">
        <v>10</v>
      </c>
      <c r="C8" s="6">
        <v>34</v>
      </c>
      <c r="D8" s="7">
        <v>11000000</v>
      </c>
      <c r="E8" s="38">
        <v>7.0999999999999994E-2</v>
      </c>
      <c r="F8" s="10" t="s">
        <v>238</v>
      </c>
      <c r="G8" s="40">
        <v>0.126</v>
      </c>
      <c r="H8" s="6"/>
      <c r="I8" s="6"/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3" x14ac:dyDescent="0.25">
      <c r="A9" s="9" t="s">
        <v>466</v>
      </c>
      <c r="B9" s="6" t="s">
        <v>11</v>
      </c>
      <c r="C9" s="6">
        <v>29</v>
      </c>
      <c r="D9" s="7">
        <v>11000000</v>
      </c>
      <c r="E9" s="38">
        <v>7.0999999999999994E-2</v>
      </c>
      <c r="F9" s="10" t="s">
        <v>467</v>
      </c>
      <c r="G9" s="40">
        <v>0.08</v>
      </c>
      <c r="H9" s="6"/>
      <c r="I9" s="6"/>
      <c r="J9" s="6"/>
      <c r="K9" s="6"/>
      <c r="L9" s="6"/>
      <c r="M9" s="6"/>
      <c r="O9" t="s">
        <v>488</v>
      </c>
      <c r="P9" s="2" t="s">
        <v>464</v>
      </c>
      <c r="Q9" s="2" t="s">
        <v>320</v>
      </c>
      <c r="R9" s="2" t="s">
        <v>315</v>
      </c>
      <c r="S9" s="2" t="s">
        <v>318</v>
      </c>
      <c r="T9" s="2" t="s">
        <v>325</v>
      </c>
    </row>
    <row r="10" spans="1:23" x14ac:dyDescent="0.25">
      <c r="A10" s="9" t="s">
        <v>325</v>
      </c>
      <c r="B10" s="6" t="s">
        <v>18</v>
      </c>
      <c r="C10" s="6">
        <v>27</v>
      </c>
      <c r="D10" s="7">
        <v>8104000</v>
      </c>
      <c r="E10" s="38">
        <v>5.1999999999999998E-2</v>
      </c>
      <c r="F10" s="14">
        <v>8104000</v>
      </c>
      <c r="G10" s="39">
        <v>4.9000000000000002E-2</v>
      </c>
      <c r="H10" s="10" t="s">
        <v>326</v>
      </c>
      <c r="I10" s="40">
        <v>0.06</v>
      </c>
      <c r="J10" s="6"/>
      <c r="K10" s="6"/>
      <c r="L10" s="6"/>
      <c r="M10" s="6"/>
      <c r="O10" t="s">
        <v>489</v>
      </c>
      <c r="P10" s="9" t="s">
        <v>328</v>
      </c>
      <c r="Q10" s="9" t="s">
        <v>466</v>
      </c>
      <c r="R10" s="9" t="s">
        <v>327</v>
      </c>
      <c r="S10" s="9" t="s">
        <v>321</v>
      </c>
      <c r="T10" s="9" t="s">
        <v>331</v>
      </c>
    </row>
    <row r="11" spans="1:23" x14ac:dyDescent="0.25">
      <c r="A11" s="9" t="s">
        <v>327</v>
      </c>
      <c r="B11" s="6" t="s">
        <v>10</v>
      </c>
      <c r="C11" s="6">
        <v>24</v>
      </c>
      <c r="D11" s="7">
        <v>6000000</v>
      </c>
      <c r="E11" s="38">
        <v>3.9E-2</v>
      </c>
      <c r="F11" s="7">
        <v>6000000</v>
      </c>
      <c r="G11" s="38">
        <v>3.5999999999999997E-2</v>
      </c>
      <c r="H11" s="10" t="s">
        <v>177</v>
      </c>
      <c r="I11" s="40">
        <v>4.4999999999999998E-2</v>
      </c>
      <c r="J11" s="6"/>
      <c r="K11" s="6"/>
      <c r="L11" s="6"/>
      <c r="M11" s="6"/>
      <c r="O11" t="s">
        <v>490</v>
      </c>
      <c r="P11" s="9" t="s">
        <v>333</v>
      </c>
      <c r="Q11" s="9" t="s">
        <v>330</v>
      </c>
      <c r="R11" s="9" t="s">
        <v>334</v>
      </c>
      <c r="S11" s="9" t="s">
        <v>324</v>
      </c>
      <c r="T11" s="70"/>
      <c r="U11" s="2"/>
      <c r="V11" s="2"/>
      <c r="W11" s="2"/>
    </row>
    <row r="12" spans="1:23" x14ac:dyDescent="0.25">
      <c r="A12" s="9" t="s">
        <v>328</v>
      </c>
      <c r="B12" s="6" t="s">
        <v>25</v>
      </c>
      <c r="C12" s="6">
        <v>31</v>
      </c>
      <c r="D12" s="7">
        <v>5134000</v>
      </c>
      <c r="E12" s="38">
        <v>3.3000000000000002E-2</v>
      </c>
      <c r="F12" s="14">
        <v>5390700</v>
      </c>
      <c r="G12" s="39">
        <v>3.2000000000000001E-2</v>
      </c>
      <c r="H12" s="10" t="s">
        <v>329</v>
      </c>
      <c r="I12" s="40">
        <v>0.04</v>
      </c>
      <c r="J12" s="6"/>
      <c r="K12" s="6"/>
      <c r="L12" s="6"/>
      <c r="M12" s="6"/>
      <c r="P12" s="9" t="s">
        <v>36</v>
      </c>
      <c r="Q12" s="9" t="s">
        <v>337</v>
      </c>
      <c r="S12" s="9" t="s">
        <v>335</v>
      </c>
      <c r="T12" s="2"/>
      <c r="U12" s="2"/>
      <c r="V12" s="2"/>
      <c r="W12" s="2"/>
    </row>
    <row r="13" spans="1:23" x14ac:dyDescent="0.25">
      <c r="A13" s="9" t="s">
        <v>330</v>
      </c>
      <c r="B13" s="6" t="s">
        <v>14</v>
      </c>
      <c r="C13" s="6">
        <v>24</v>
      </c>
      <c r="D13" s="7">
        <v>4010160</v>
      </c>
      <c r="E13" s="38">
        <v>2.5999999999999999E-2</v>
      </c>
      <c r="F13" s="7">
        <v>4201080</v>
      </c>
      <c r="G13" s="38">
        <v>2.5000000000000001E-2</v>
      </c>
      <c r="H13" s="13">
        <v>6452860</v>
      </c>
      <c r="I13" s="41">
        <v>3.6999999999999998E-2</v>
      </c>
      <c r="J13" s="12" t="s">
        <v>84</v>
      </c>
      <c r="K13" s="42">
        <v>0.106</v>
      </c>
      <c r="L13" s="6"/>
      <c r="M13" s="6"/>
      <c r="S13" s="2"/>
      <c r="T13" s="2"/>
      <c r="U13" s="2"/>
      <c r="V13" s="2"/>
      <c r="W13" s="2"/>
    </row>
    <row r="14" spans="1:23" x14ac:dyDescent="0.25">
      <c r="A14" s="9" t="s">
        <v>331</v>
      </c>
      <c r="B14" s="6" t="s">
        <v>18</v>
      </c>
      <c r="C14" s="6">
        <v>25</v>
      </c>
      <c r="D14" s="7">
        <v>3449323</v>
      </c>
      <c r="E14" s="38">
        <v>2.1999999999999999E-2</v>
      </c>
      <c r="F14" s="10" t="s">
        <v>332</v>
      </c>
      <c r="G14" s="40">
        <v>2.7E-2</v>
      </c>
      <c r="H14" s="6"/>
      <c r="I14" s="6"/>
      <c r="J14" s="6"/>
      <c r="K14" s="6"/>
      <c r="L14" s="6"/>
      <c r="M14" s="6"/>
    </row>
    <row r="15" spans="1:23" x14ac:dyDescent="0.25">
      <c r="A15" s="9" t="s">
        <v>333</v>
      </c>
      <c r="B15" s="6" t="s">
        <v>25</v>
      </c>
      <c r="C15" s="6">
        <v>21</v>
      </c>
      <c r="D15" s="7">
        <v>1955377</v>
      </c>
      <c r="E15" s="38">
        <v>1.2999999999999999E-2</v>
      </c>
      <c r="F15" s="7">
        <v>2296271</v>
      </c>
      <c r="G15" s="38">
        <v>1.4E-2</v>
      </c>
      <c r="H15" s="13">
        <v>2486995</v>
      </c>
      <c r="I15" s="41">
        <v>1.4E-2</v>
      </c>
      <c r="J15" s="10" t="s">
        <v>120</v>
      </c>
      <c r="K15" s="40">
        <v>1.7000000000000001E-2</v>
      </c>
      <c r="L15" s="6"/>
      <c r="M15" s="6"/>
    </row>
    <row r="16" spans="1:23" x14ac:dyDescent="0.25">
      <c r="A16" s="9" t="s">
        <v>334</v>
      </c>
      <c r="B16" s="6" t="s">
        <v>14</v>
      </c>
      <c r="C16" s="6">
        <v>21</v>
      </c>
      <c r="D16" s="7">
        <v>1272870</v>
      </c>
      <c r="E16" s="38">
        <v>8.0000000000000002E-3</v>
      </c>
      <c r="F16" s="7">
        <v>2150917</v>
      </c>
      <c r="G16" s="38">
        <v>1.2999999999999999E-2</v>
      </c>
      <c r="H16" s="13">
        <v>2525901</v>
      </c>
      <c r="I16" s="41">
        <v>1.4E-2</v>
      </c>
      <c r="J16" s="12" t="s">
        <v>30</v>
      </c>
      <c r="K16" s="42">
        <v>1.9E-2</v>
      </c>
      <c r="L16" s="6"/>
      <c r="M16" s="6"/>
    </row>
    <row r="17" spans="1:13" x14ac:dyDescent="0.25">
      <c r="A17" s="9" t="s">
        <v>36</v>
      </c>
      <c r="B17" s="6" t="s">
        <v>25</v>
      </c>
      <c r="C17" s="6">
        <v>22</v>
      </c>
      <c r="D17" s="7">
        <v>844607</v>
      </c>
      <c r="E17" s="38">
        <v>5.0000000000000001E-3</v>
      </c>
      <c r="F17" s="13">
        <v>2497812</v>
      </c>
      <c r="G17" s="41">
        <v>1.4999999999999999E-2</v>
      </c>
      <c r="H17" s="10" t="s">
        <v>58</v>
      </c>
      <c r="I17" s="40">
        <v>1.4999999999999999E-2</v>
      </c>
      <c r="J17" s="6"/>
      <c r="K17" s="6"/>
      <c r="L17" s="6"/>
      <c r="M17" s="6"/>
    </row>
    <row r="18" spans="1:13" x14ac:dyDescent="0.25">
      <c r="A18" s="9" t="s">
        <v>335</v>
      </c>
      <c r="B18" s="6" t="s">
        <v>82</v>
      </c>
      <c r="C18" s="6">
        <v>25</v>
      </c>
      <c r="D18" s="6" t="s">
        <v>63</v>
      </c>
      <c r="E18" s="6"/>
      <c r="F18" s="4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336</v>
      </c>
      <c r="B19" s="6" t="s">
        <v>25</v>
      </c>
      <c r="C19" s="6">
        <v>21</v>
      </c>
      <c r="D19" s="6" t="s">
        <v>63</v>
      </c>
      <c r="E19" s="6"/>
      <c r="F19" s="4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337</v>
      </c>
      <c r="B20" s="6" t="s">
        <v>29</v>
      </c>
      <c r="C20" s="6">
        <v>24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195165412</v>
      </c>
      <c r="E23" s="29"/>
      <c r="F23" s="16">
        <f>SUM(F4,F7,F11,F13,F15:F16)</f>
        <v>76876839</v>
      </c>
      <c r="G23" s="17"/>
      <c r="H23" s="16">
        <f>SUM(H4)</f>
        <v>53784000</v>
      </c>
      <c r="I23" s="17"/>
      <c r="J23" s="16">
        <f>SUM(J3)</f>
        <v>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195165412</v>
      </c>
      <c r="E24" s="17"/>
      <c r="F24" s="16">
        <f>F23+E31*9</f>
        <v>89488278</v>
      </c>
      <c r="G24" s="17"/>
      <c r="H24" s="16">
        <f>H23+E32*14</f>
        <v>75363573.400000006</v>
      </c>
      <c r="I24" s="17"/>
      <c r="J24" s="16">
        <f>J23+E33*15</f>
        <v>25433068.650000002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195165412</v>
      </c>
      <c r="E25" s="17"/>
      <c r="F25" s="16">
        <f>F23+F6+F10+F12+F17</f>
        <v>107768137</v>
      </c>
      <c r="G25" s="17"/>
      <c r="H25" s="16">
        <f>H23+H7+H15+H13+H16</f>
        <v>78535470</v>
      </c>
      <c r="I25" s="17"/>
      <c r="J25" s="16">
        <f>J23+J4</f>
        <v>57768000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-40518412</v>
      </c>
      <c r="E28" s="16"/>
      <c r="F28" s="16">
        <f>F26-F24</f>
        <v>75511722</v>
      </c>
      <c r="G28" s="16"/>
      <c r="H28" s="16">
        <f>H26-H24</f>
        <v>97886426.599999994</v>
      </c>
      <c r="I28" s="16"/>
      <c r="J28" s="16">
        <f>J26-J24</f>
        <v>156479931.34999999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-7270412</v>
      </c>
      <c r="E29" s="16"/>
      <c r="F29" s="16">
        <f>F27-F24</f>
        <v>110511722</v>
      </c>
      <c r="G29" s="16"/>
      <c r="H29" s="16">
        <f>H27-H24</f>
        <v>135135426.59999999</v>
      </c>
      <c r="I29" s="16"/>
      <c r="J29" s="16">
        <f>J27-J24</f>
        <v>195590931.34999999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1:M1"/>
    <mergeCell ref="A23:C23"/>
    <mergeCell ref="A24:C24"/>
    <mergeCell ref="A25:C25"/>
    <mergeCell ref="A26:C26"/>
    <mergeCell ref="A27:C27"/>
    <mergeCell ref="A28:C28"/>
    <mergeCell ref="A29:C29"/>
    <mergeCell ref="A31:D31"/>
    <mergeCell ref="A32:D32"/>
    <mergeCell ref="A33:D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472B-4EB7-442A-A102-4B814F83CBB3}">
  <dimension ref="A1:T34"/>
  <sheetViews>
    <sheetView workbookViewId="0">
      <selection activeCell="L25" sqref="L25"/>
    </sheetView>
  </sheetViews>
  <sheetFormatPr defaultRowHeight="15" x14ac:dyDescent="0.25"/>
  <cols>
    <col min="1" max="1" width="24.2851562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8" max="8" width="13.7109375" bestFit="1" customWidth="1"/>
    <col min="10" max="10" width="13.7109375" bestFit="1" customWidth="1"/>
    <col min="12" max="12" width="13.7109375" bestFit="1" customWidth="1"/>
    <col min="15" max="15" width="13.28515625" bestFit="1" customWidth="1"/>
  </cols>
  <sheetData>
    <row r="1" spans="1:20" x14ac:dyDescent="0.25">
      <c r="A1" s="75" t="s">
        <v>504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338</v>
      </c>
      <c r="B3" s="6" t="s">
        <v>25</v>
      </c>
      <c r="C3" s="6">
        <v>26</v>
      </c>
      <c r="D3" s="7">
        <v>39446090</v>
      </c>
      <c r="E3" s="38">
        <v>0.255</v>
      </c>
      <c r="F3" s="7">
        <v>42166510</v>
      </c>
      <c r="G3" s="38">
        <v>0.254</v>
      </c>
      <c r="H3" s="7">
        <v>44886930</v>
      </c>
      <c r="I3" s="38">
        <v>0.25800000000000001</v>
      </c>
      <c r="J3" s="10" t="s">
        <v>150</v>
      </c>
      <c r="K3" s="40">
        <v>0.29399999999999998</v>
      </c>
      <c r="L3" s="6"/>
      <c r="M3" s="6"/>
      <c r="O3" s="31" t="s">
        <v>484</v>
      </c>
    </row>
    <row r="4" spans="1:20" x14ac:dyDescent="0.25">
      <c r="A4" s="9" t="s">
        <v>339</v>
      </c>
      <c r="B4" s="6" t="s">
        <v>11</v>
      </c>
      <c r="C4" s="6">
        <v>32</v>
      </c>
      <c r="D4" s="7">
        <v>21621500</v>
      </c>
      <c r="E4" s="38">
        <v>0.14000000000000001</v>
      </c>
      <c r="F4" s="14">
        <v>21621500</v>
      </c>
      <c r="G4" s="39">
        <v>0.13</v>
      </c>
      <c r="H4" s="11" t="s">
        <v>75</v>
      </c>
      <c r="I4" s="40">
        <v>0.186</v>
      </c>
      <c r="J4" s="7"/>
      <c r="K4" s="38"/>
      <c r="L4" s="7"/>
      <c r="M4" s="38"/>
      <c r="O4" s="32" t="s">
        <v>485</v>
      </c>
    </row>
    <row r="5" spans="1:20" x14ac:dyDescent="0.25">
      <c r="A5" s="9" t="s">
        <v>340</v>
      </c>
      <c r="B5" s="6" t="s">
        <v>18</v>
      </c>
      <c r="C5" s="6">
        <v>25</v>
      </c>
      <c r="D5" s="7">
        <v>18485916</v>
      </c>
      <c r="E5" s="38">
        <v>0.12</v>
      </c>
      <c r="F5" s="7">
        <v>17007043</v>
      </c>
      <c r="G5" s="38">
        <v>0.10199999999999999</v>
      </c>
      <c r="H5" s="13">
        <v>17007043</v>
      </c>
      <c r="I5" s="41">
        <v>9.8000000000000004E-2</v>
      </c>
      <c r="J5" s="10" t="s">
        <v>341</v>
      </c>
      <c r="K5" s="40">
        <v>0.13900000000000001</v>
      </c>
      <c r="L5" s="6"/>
      <c r="M5" s="6"/>
      <c r="O5" s="33" t="s">
        <v>486</v>
      </c>
    </row>
    <row r="6" spans="1:20" x14ac:dyDescent="0.25">
      <c r="A6" s="9" t="s">
        <v>342</v>
      </c>
      <c r="B6" s="6" t="s">
        <v>10</v>
      </c>
      <c r="C6" s="6">
        <v>29</v>
      </c>
      <c r="D6" s="7">
        <v>12500000</v>
      </c>
      <c r="E6" s="38">
        <v>8.1000000000000003E-2</v>
      </c>
      <c r="F6" s="7">
        <v>12500000</v>
      </c>
      <c r="G6" s="38">
        <v>7.4999999999999997E-2</v>
      </c>
      <c r="H6" s="11" t="s">
        <v>343</v>
      </c>
      <c r="I6" s="40">
        <v>0.108</v>
      </c>
      <c r="J6" s="6"/>
      <c r="K6" s="38"/>
      <c r="L6" s="6"/>
      <c r="M6" s="6"/>
      <c r="O6" s="34" t="s">
        <v>487</v>
      </c>
    </row>
    <row r="7" spans="1:20" x14ac:dyDescent="0.25">
      <c r="A7" s="9" t="s">
        <v>344</v>
      </c>
      <c r="B7" s="6" t="s">
        <v>11</v>
      </c>
      <c r="C7" s="6">
        <v>28</v>
      </c>
      <c r="D7" s="7">
        <v>8781000</v>
      </c>
      <c r="E7" s="38">
        <v>5.7000000000000002E-2</v>
      </c>
      <c r="F7" s="7">
        <v>9220050</v>
      </c>
      <c r="G7" s="38">
        <v>5.6000000000000001E-2</v>
      </c>
      <c r="H7" s="14">
        <v>9659100</v>
      </c>
      <c r="I7" s="39">
        <v>5.5E-2</v>
      </c>
      <c r="J7" s="10" t="s">
        <v>345</v>
      </c>
      <c r="K7" s="40">
        <v>0.1</v>
      </c>
      <c r="L7" s="6"/>
      <c r="M7" s="6"/>
    </row>
    <row r="8" spans="1:20" x14ac:dyDescent="0.25">
      <c r="A8" s="9" t="s">
        <v>468</v>
      </c>
      <c r="B8" s="6" t="s">
        <v>10</v>
      </c>
      <c r="C8" s="6">
        <v>22</v>
      </c>
      <c r="D8" s="7">
        <v>6127080</v>
      </c>
      <c r="E8" s="38">
        <v>0.04</v>
      </c>
      <c r="F8" s="7">
        <v>7805900</v>
      </c>
      <c r="G8" s="38">
        <v>4.7E-2</v>
      </c>
      <c r="H8" s="11" t="s">
        <v>469</v>
      </c>
      <c r="I8" s="40">
        <v>0.13400000000000001</v>
      </c>
      <c r="J8" s="6"/>
      <c r="K8" s="38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346</v>
      </c>
      <c r="B9" s="6" t="s">
        <v>18</v>
      </c>
      <c r="C9" s="6">
        <v>23</v>
      </c>
      <c r="D9" s="7">
        <v>6045000</v>
      </c>
      <c r="E9" s="38">
        <v>3.9E-2</v>
      </c>
      <c r="F9" s="7">
        <v>6332760</v>
      </c>
      <c r="G9" s="38">
        <v>3.7999999999999999E-2</v>
      </c>
      <c r="H9" s="13">
        <v>8067937</v>
      </c>
      <c r="I9" s="41">
        <v>4.5999999999999999E-2</v>
      </c>
      <c r="J9" s="12" t="s">
        <v>347</v>
      </c>
      <c r="K9" s="42">
        <v>0.13200000000000001</v>
      </c>
      <c r="L9" s="6"/>
      <c r="M9" s="6"/>
      <c r="O9" t="s">
        <v>488</v>
      </c>
      <c r="P9" s="9"/>
      <c r="Q9" s="9"/>
      <c r="R9" s="9"/>
      <c r="S9" s="9"/>
      <c r="T9" s="9"/>
    </row>
    <row r="10" spans="1:20" x14ac:dyDescent="0.25">
      <c r="A10" s="9" t="s">
        <v>348</v>
      </c>
      <c r="B10" s="6" t="s">
        <v>11</v>
      </c>
      <c r="C10" s="6">
        <v>22</v>
      </c>
      <c r="D10" s="7">
        <v>5715120</v>
      </c>
      <c r="E10" s="38">
        <v>3.6999999999999998E-2</v>
      </c>
      <c r="F10" s="7">
        <v>6001080</v>
      </c>
      <c r="G10" s="38">
        <v>3.5999999999999997E-2</v>
      </c>
      <c r="H10" s="13">
        <v>6286920</v>
      </c>
      <c r="I10" s="41">
        <v>3.5999999999999997E-2</v>
      </c>
      <c r="J10" s="13">
        <v>8342743</v>
      </c>
      <c r="K10" s="41">
        <v>4.5999999999999999E-2</v>
      </c>
      <c r="L10" s="12" t="s">
        <v>349</v>
      </c>
      <c r="M10" s="42">
        <v>0.13</v>
      </c>
      <c r="O10" t="s">
        <v>489</v>
      </c>
      <c r="P10" s="9"/>
      <c r="Q10" s="9"/>
      <c r="R10" s="9"/>
      <c r="S10" s="9"/>
      <c r="T10" s="9"/>
    </row>
    <row r="11" spans="1:20" x14ac:dyDescent="0.25">
      <c r="A11" s="9" t="s">
        <v>470</v>
      </c>
      <c r="B11" s="6" t="s">
        <v>25</v>
      </c>
      <c r="C11" s="6">
        <v>22</v>
      </c>
      <c r="D11" s="7">
        <v>3991320</v>
      </c>
      <c r="E11" s="38">
        <v>2.5999999999999999E-2</v>
      </c>
      <c r="F11" s="7">
        <v>4190520</v>
      </c>
      <c r="G11" s="38">
        <v>2.5000000000000001E-2</v>
      </c>
      <c r="H11" s="13">
        <v>4390320</v>
      </c>
      <c r="I11" s="41">
        <v>2.5000000000000001E-2</v>
      </c>
      <c r="J11" s="13">
        <v>6752312</v>
      </c>
      <c r="K11" s="41">
        <v>3.6999999999999998E-2</v>
      </c>
      <c r="L11" s="12" t="s">
        <v>471</v>
      </c>
      <c r="M11" s="42">
        <v>0.105</v>
      </c>
      <c r="O11" t="s">
        <v>490</v>
      </c>
      <c r="P11" s="9"/>
      <c r="Q11" s="9"/>
      <c r="R11" s="9"/>
      <c r="S11" s="9"/>
      <c r="T11" s="9"/>
    </row>
    <row r="12" spans="1:20" x14ac:dyDescent="0.25">
      <c r="A12" s="9" t="s">
        <v>350</v>
      </c>
      <c r="B12" s="6" t="s">
        <v>11</v>
      </c>
      <c r="C12" s="6">
        <v>25</v>
      </c>
      <c r="D12" s="7">
        <v>2537989</v>
      </c>
      <c r="E12" s="38">
        <v>1.6E-2</v>
      </c>
      <c r="F12" s="7">
        <v>2411090</v>
      </c>
      <c r="G12" s="38">
        <v>1.4999999999999999E-2</v>
      </c>
      <c r="H12" s="7">
        <v>2616754</v>
      </c>
      <c r="I12" s="38">
        <v>1.4999999999999999E-2</v>
      </c>
      <c r="J12" s="13">
        <v>2830685</v>
      </c>
      <c r="K12" s="41">
        <v>1.4999999999999999E-2</v>
      </c>
      <c r="L12" s="10" t="s">
        <v>351</v>
      </c>
      <c r="M12" s="40">
        <v>2.8000000000000001E-2</v>
      </c>
    </row>
    <row r="13" spans="1:20" x14ac:dyDescent="0.25">
      <c r="A13" s="9" t="s">
        <v>353</v>
      </c>
      <c r="B13" s="6" t="s">
        <v>25</v>
      </c>
      <c r="C13" s="6">
        <v>25</v>
      </c>
      <c r="D13" s="7">
        <v>2270735</v>
      </c>
      <c r="E13" s="38">
        <v>1.4999999999999999E-2</v>
      </c>
      <c r="F13" s="7">
        <v>2461462</v>
      </c>
      <c r="G13" s="38">
        <v>1.4999999999999999E-2</v>
      </c>
      <c r="H13" s="13">
        <v>2789215</v>
      </c>
      <c r="I13" s="41">
        <v>1.6E-2</v>
      </c>
      <c r="J13" s="10" t="s">
        <v>120</v>
      </c>
      <c r="K13" s="40">
        <v>1.7000000000000001E-2</v>
      </c>
      <c r="L13" s="6"/>
      <c r="M13" s="6"/>
    </row>
    <row r="14" spans="1:20" x14ac:dyDescent="0.25">
      <c r="A14" s="9" t="s">
        <v>354</v>
      </c>
      <c r="B14" s="6" t="s">
        <v>10</v>
      </c>
      <c r="C14" s="6">
        <v>21</v>
      </c>
      <c r="D14" s="7">
        <v>2221677</v>
      </c>
      <c r="E14" s="38">
        <v>1.4E-2</v>
      </c>
      <c r="F14" s="13">
        <v>2406205</v>
      </c>
      <c r="G14" s="41">
        <v>1.4E-2</v>
      </c>
      <c r="H14" s="10" t="s">
        <v>61</v>
      </c>
      <c r="I14" s="40">
        <v>1.6E-2</v>
      </c>
      <c r="J14" s="6"/>
      <c r="K14" s="6"/>
      <c r="L14" s="6"/>
      <c r="M14" s="6"/>
    </row>
    <row r="15" spans="1:20" x14ac:dyDescent="0.25">
      <c r="A15" s="9" t="s">
        <v>355</v>
      </c>
      <c r="B15" s="6" t="s">
        <v>11</v>
      </c>
      <c r="C15" s="6">
        <v>22</v>
      </c>
      <c r="D15" s="7">
        <v>1955377</v>
      </c>
      <c r="E15" s="38">
        <v>1.2999999999999999E-2</v>
      </c>
      <c r="F15" s="7">
        <v>2296271</v>
      </c>
      <c r="G15" s="38">
        <v>1.4E-2</v>
      </c>
      <c r="H15" s="13">
        <v>2486995</v>
      </c>
      <c r="I15" s="41">
        <v>1.4E-2</v>
      </c>
      <c r="J15" s="10" t="s">
        <v>120</v>
      </c>
      <c r="K15" s="40">
        <v>1.7000000000000001E-2</v>
      </c>
      <c r="L15" s="6"/>
      <c r="M15" s="6"/>
    </row>
    <row r="16" spans="1:20" x14ac:dyDescent="0.25">
      <c r="A16" s="9" t="s">
        <v>472</v>
      </c>
      <c r="B16" s="6" t="s">
        <v>18</v>
      </c>
      <c r="C16" s="6">
        <v>40</v>
      </c>
      <c r="D16" s="7">
        <v>960753</v>
      </c>
      <c r="E16" s="38">
        <v>6.0000000000000001E-3</v>
      </c>
      <c r="F16" s="7">
        <v>3815861</v>
      </c>
      <c r="G16" s="38">
        <v>2.3E-2</v>
      </c>
      <c r="H16" s="10" t="s">
        <v>58</v>
      </c>
      <c r="I16" s="40">
        <v>1.4999999999999999E-2</v>
      </c>
      <c r="J16" s="6"/>
      <c r="K16" s="6"/>
      <c r="L16" s="6"/>
      <c r="M16" s="6"/>
    </row>
    <row r="17" spans="1:13" x14ac:dyDescent="0.25">
      <c r="A17" s="9" t="s">
        <v>357</v>
      </c>
      <c r="B17" s="6" t="s">
        <v>10</v>
      </c>
      <c r="C17" s="6">
        <v>23</v>
      </c>
      <c r="D17" s="7">
        <v>527879</v>
      </c>
      <c r="E17" s="38">
        <v>3.0000000000000001E-3</v>
      </c>
      <c r="F17" s="13">
        <v>2497812</v>
      </c>
      <c r="G17" s="41">
        <v>1.4999999999999999E-2</v>
      </c>
      <c r="H17" s="11" t="s">
        <v>58</v>
      </c>
      <c r="I17" s="40">
        <v>1.4999999999999999E-2</v>
      </c>
      <c r="J17" s="6"/>
      <c r="K17" s="38"/>
      <c r="L17" s="6"/>
      <c r="M17" s="6"/>
    </row>
    <row r="18" spans="1:13" x14ac:dyDescent="0.25">
      <c r="A18" s="9" t="s">
        <v>356</v>
      </c>
      <c r="B18" s="6" t="s">
        <v>29</v>
      </c>
      <c r="C18" s="6">
        <v>23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L18" s="6"/>
      <c r="M18" s="6"/>
    </row>
    <row r="19" spans="1:13" x14ac:dyDescent="0.25">
      <c r="A19" s="9" t="s">
        <v>473</v>
      </c>
      <c r="B19" s="6" t="s">
        <v>11</v>
      </c>
      <c r="C19" s="6">
        <v>21</v>
      </c>
      <c r="D19" s="6" t="s">
        <v>63</v>
      </c>
      <c r="E19" s="6"/>
      <c r="F19" s="42" t="s">
        <v>64</v>
      </c>
      <c r="G19" s="42">
        <v>1.2999999999999999E-2</v>
      </c>
      <c r="H19" s="6"/>
      <c r="I19" s="6"/>
      <c r="L19" s="6"/>
      <c r="M19" s="6"/>
    </row>
    <row r="20" spans="1:13" x14ac:dyDescent="0.25">
      <c r="A20" s="9" t="s">
        <v>358</v>
      </c>
      <c r="B20" s="6" t="s">
        <v>82</v>
      </c>
      <c r="C20" s="6">
        <v>23</v>
      </c>
      <c r="D20" s="6" t="s">
        <v>63</v>
      </c>
      <c r="E20" s="6"/>
      <c r="F20" s="6" t="s">
        <v>63</v>
      </c>
      <c r="G20" s="6"/>
      <c r="H20" s="12" t="s">
        <v>64</v>
      </c>
      <c r="I20" s="42">
        <v>1.2999999999999999E-2</v>
      </c>
      <c r="L20" s="6"/>
      <c r="M20" s="6"/>
    </row>
    <row r="21" spans="1:13" x14ac:dyDescent="0.25">
      <c r="H21" t="s">
        <v>503</v>
      </c>
    </row>
    <row r="23" spans="1:13" x14ac:dyDescent="0.25">
      <c r="A23" s="84" t="s">
        <v>65</v>
      </c>
      <c r="B23" s="85"/>
      <c r="C23" s="86"/>
      <c r="D23" s="16">
        <f>SUM(D3:D17)</f>
        <v>133187436</v>
      </c>
      <c r="E23" s="29"/>
      <c r="F23" s="16">
        <f>SUM(F3,F5:F13,F15:F16)</f>
        <v>116208547</v>
      </c>
      <c r="G23" s="17"/>
      <c r="H23" s="16">
        <f>SUM(H3,H12)</f>
        <v>47503684</v>
      </c>
      <c r="I23" s="17"/>
      <c r="J23" s="16">
        <f>SUM(J4)</f>
        <v>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133187436</v>
      </c>
      <c r="E24" s="17"/>
      <c r="F24" s="16">
        <f>F23+E31*3</f>
        <v>120412360</v>
      </c>
      <c r="G24" s="17"/>
      <c r="H24" s="16">
        <f>H23+E32*13</f>
        <v>67541859.299999997</v>
      </c>
      <c r="I24" s="17"/>
      <c r="J24" s="16">
        <f>J23+E33*15</f>
        <v>25433068.650000002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133187436</v>
      </c>
      <c r="E25" s="17"/>
      <c r="F25" s="16">
        <f>F23+F4+F14+F17</f>
        <v>142734064</v>
      </c>
      <c r="G25" s="17"/>
      <c r="H25" s="16">
        <f>H23+H5+H7+H9+H10+H11+H13+H15</f>
        <v>98191214</v>
      </c>
      <c r="I25" s="17"/>
      <c r="J25" s="16">
        <f>J23+J10+J11+J12</f>
        <v>17925740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21459564</v>
      </c>
      <c r="E28" s="16"/>
      <c r="F28" s="16">
        <f>F26-F24</f>
        <v>44587640</v>
      </c>
      <c r="G28" s="16"/>
      <c r="H28" s="16">
        <f>H26-H24</f>
        <v>105708140.7</v>
      </c>
      <c r="I28" s="16"/>
      <c r="J28" s="16">
        <f>J26-J24</f>
        <v>156479931.34999999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1" t="s">
        <v>71</v>
      </c>
      <c r="B29" s="72"/>
      <c r="C29" s="73"/>
      <c r="D29" s="16">
        <f>D27-D24</f>
        <v>54707564</v>
      </c>
      <c r="E29" s="16"/>
      <c r="F29" s="16">
        <f>F27-F24</f>
        <v>79587640</v>
      </c>
      <c r="G29" s="16"/>
      <c r="H29" s="16">
        <f>H27-H24</f>
        <v>142957140.69999999</v>
      </c>
      <c r="I29" s="16"/>
      <c r="J29" s="16">
        <f>J27-J24</f>
        <v>195590931.34999999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87" t="s">
        <v>404</v>
      </c>
      <c r="B31" s="88"/>
      <c r="C31" s="88"/>
      <c r="D31" s="89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87" t="s">
        <v>405</v>
      </c>
      <c r="B32" s="88"/>
      <c r="C32" s="88"/>
      <c r="D32" s="89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87" t="s">
        <v>406</v>
      </c>
      <c r="B33" s="88"/>
      <c r="C33" s="88"/>
      <c r="D33" s="89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87" t="s">
        <v>407</v>
      </c>
      <c r="B34" s="88"/>
      <c r="C34" s="88"/>
      <c r="D34" s="89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1:M1"/>
    <mergeCell ref="A31:D31"/>
    <mergeCell ref="A32:D32"/>
    <mergeCell ref="A33:D33"/>
    <mergeCell ref="A34:D34"/>
    <mergeCell ref="A28:C28"/>
    <mergeCell ref="A29:C29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322C-84DF-440F-922D-5DBC37DB5304}">
  <dimension ref="A1:T34"/>
  <sheetViews>
    <sheetView zoomScale="95" zoomScaleNormal="95" workbookViewId="0">
      <selection activeCell="J36" sqref="J36"/>
    </sheetView>
  </sheetViews>
  <sheetFormatPr defaultRowHeight="15" x14ac:dyDescent="0.25"/>
  <cols>
    <col min="1" max="1" width="25.28515625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9" bestFit="1" customWidth="1"/>
    <col min="17" max="17" width="14.42578125" bestFit="1" customWidth="1"/>
    <col min="18" max="18" width="15.140625" bestFit="1" customWidth="1"/>
    <col min="19" max="19" width="18.5703125" bestFit="1" customWidth="1"/>
    <col min="20" max="20" width="15.5703125" bestFit="1" customWidth="1"/>
  </cols>
  <sheetData>
    <row r="1" spans="1:20" x14ac:dyDescent="0.25">
      <c r="A1" s="75" t="s">
        <v>505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359</v>
      </c>
      <c r="B3" s="6" t="s">
        <v>18</v>
      </c>
      <c r="C3" s="6">
        <v>28</v>
      </c>
      <c r="D3" s="7">
        <v>37096620</v>
      </c>
      <c r="E3" s="38">
        <v>0.24</v>
      </c>
      <c r="F3" s="7">
        <v>49800000</v>
      </c>
      <c r="G3" s="38">
        <v>0.3</v>
      </c>
      <c r="H3" s="7">
        <v>53784000</v>
      </c>
      <c r="I3" s="38">
        <v>0.309</v>
      </c>
      <c r="J3" s="14">
        <v>57768000</v>
      </c>
      <c r="K3" s="39">
        <v>0.316</v>
      </c>
      <c r="L3" s="10" t="s">
        <v>317</v>
      </c>
      <c r="M3" s="40">
        <v>0.35</v>
      </c>
      <c r="O3" s="31" t="s">
        <v>484</v>
      </c>
    </row>
    <row r="4" spans="1:20" x14ac:dyDescent="0.25">
      <c r="A4" s="9" t="s">
        <v>360</v>
      </c>
      <c r="B4" s="6" t="s">
        <v>11</v>
      </c>
      <c r="C4" s="6">
        <v>26</v>
      </c>
      <c r="D4" s="7">
        <v>31000000</v>
      </c>
      <c r="E4" s="38">
        <v>0.2</v>
      </c>
      <c r="F4" s="7">
        <v>33000000</v>
      </c>
      <c r="G4" s="38">
        <v>0.19900000000000001</v>
      </c>
      <c r="H4" s="10" t="s">
        <v>152</v>
      </c>
      <c r="I4" s="40">
        <v>0.28000000000000003</v>
      </c>
      <c r="J4" s="6"/>
      <c r="K4" s="6"/>
      <c r="L4" s="6"/>
      <c r="M4" s="6"/>
      <c r="O4" s="32" t="s">
        <v>485</v>
      </c>
    </row>
    <row r="5" spans="1:20" x14ac:dyDescent="0.25">
      <c r="A5" s="9" t="s">
        <v>361</v>
      </c>
      <c r="B5" s="6" t="s">
        <v>14</v>
      </c>
      <c r="C5" s="6">
        <v>30</v>
      </c>
      <c r="D5" s="7">
        <v>28223215</v>
      </c>
      <c r="E5" s="38">
        <v>0.183</v>
      </c>
      <c r="F5" s="14">
        <v>30169644</v>
      </c>
      <c r="G5" s="39">
        <v>0.182</v>
      </c>
      <c r="H5" s="10" t="s">
        <v>362</v>
      </c>
      <c r="I5" s="40">
        <v>0.26</v>
      </c>
      <c r="J5" s="6"/>
      <c r="K5" s="6"/>
      <c r="L5" s="6"/>
      <c r="M5" s="6"/>
      <c r="O5" s="33" t="s">
        <v>486</v>
      </c>
    </row>
    <row r="6" spans="1:20" x14ac:dyDescent="0.25">
      <c r="A6" s="9" t="s">
        <v>363</v>
      </c>
      <c r="B6" s="6" t="s">
        <v>25</v>
      </c>
      <c r="C6" s="6">
        <v>31</v>
      </c>
      <c r="D6" s="7">
        <v>26643031</v>
      </c>
      <c r="E6" s="38">
        <v>0.17199999999999999</v>
      </c>
      <c r="F6" s="10" t="s">
        <v>208</v>
      </c>
      <c r="G6" s="40">
        <v>0.24099999999999999</v>
      </c>
      <c r="H6" s="6"/>
      <c r="I6" s="6"/>
      <c r="J6" s="6"/>
      <c r="K6" s="6"/>
      <c r="L6" s="6"/>
      <c r="M6" s="6"/>
      <c r="O6" s="34" t="s">
        <v>487</v>
      </c>
    </row>
    <row r="7" spans="1:20" x14ac:dyDescent="0.25">
      <c r="A7" s="9" t="s">
        <v>364</v>
      </c>
      <c r="B7" s="6" t="s">
        <v>11</v>
      </c>
      <c r="C7" s="6">
        <v>32</v>
      </c>
      <c r="D7" s="7">
        <v>20482758</v>
      </c>
      <c r="E7" s="38">
        <v>0.13200000000000001</v>
      </c>
      <c r="F7" s="10" t="s">
        <v>365</v>
      </c>
      <c r="G7" s="40">
        <v>0.185</v>
      </c>
      <c r="H7" s="6"/>
      <c r="I7" s="6"/>
      <c r="J7" s="6"/>
      <c r="K7" s="6"/>
      <c r="L7" s="6"/>
      <c r="M7" s="6"/>
    </row>
    <row r="8" spans="1:20" x14ac:dyDescent="0.25">
      <c r="A8" s="9" t="s">
        <v>366</v>
      </c>
      <c r="B8" s="6" t="s">
        <v>25</v>
      </c>
      <c r="C8" s="6">
        <v>27</v>
      </c>
      <c r="D8" s="7">
        <v>11600000</v>
      </c>
      <c r="E8" s="38">
        <v>7.4999999999999997E-2</v>
      </c>
      <c r="F8" s="7">
        <v>12400000</v>
      </c>
      <c r="G8" s="38">
        <v>7.4999999999999997E-2</v>
      </c>
      <c r="H8" s="10" t="s">
        <v>367</v>
      </c>
      <c r="I8" s="40">
        <v>0.13500000000000001</v>
      </c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368</v>
      </c>
      <c r="B9" s="6" t="s">
        <v>14</v>
      </c>
      <c r="C9" s="6">
        <v>30</v>
      </c>
      <c r="D9" s="7">
        <v>8307692</v>
      </c>
      <c r="E9" s="38">
        <v>5.3999999999999999E-2</v>
      </c>
      <c r="F9" s="10" t="s">
        <v>53</v>
      </c>
      <c r="G9" s="40">
        <v>9.5000000000000001E-2</v>
      </c>
      <c r="H9" s="6"/>
      <c r="I9" s="6"/>
      <c r="J9" s="6"/>
      <c r="K9" s="6"/>
      <c r="L9" s="6"/>
      <c r="M9" s="6"/>
      <c r="O9" t="s">
        <v>488</v>
      </c>
      <c r="P9" s="9" t="s">
        <v>366</v>
      </c>
      <c r="Q9" s="9" t="s">
        <v>360</v>
      </c>
      <c r="R9" s="9" t="s">
        <v>364</v>
      </c>
      <c r="S9" s="9" t="s">
        <v>361</v>
      </c>
      <c r="T9" s="9" t="s">
        <v>359</v>
      </c>
    </row>
    <row r="10" spans="1:20" x14ac:dyDescent="0.25">
      <c r="A10" s="9" t="s">
        <v>474</v>
      </c>
      <c r="B10" s="6" t="s">
        <v>14</v>
      </c>
      <c r="C10" s="6">
        <v>19</v>
      </c>
      <c r="D10" s="7">
        <v>4445417</v>
      </c>
      <c r="E10" s="38">
        <v>2.9000000000000001E-2</v>
      </c>
      <c r="F10" s="7">
        <v>16200000</v>
      </c>
      <c r="G10" s="38">
        <v>9.8000000000000004E-2</v>
      </c>
      <c r="H10" s="7">
        <v>14904000</v>
      </c>
      <c r="I10" s="38">
        <v>8.5999999999999993E-2</v>
      </c>
      <c r="J10" s="7">
        <v>15096000</v>
      </c>
      <c r="K10" s="38">
        <v>8.2000000000000003E-2</v>
      </c>
      <c r="L10" s="7">
        <v>16200000</v>
      </c>
      <c r="M10" s="38">
        <v>8.4000000000000005E-2</v>
      </c>
      <c r="O10" t="s">
        <v>489</v>
      </c>
      <c r="P10" s="9" t="s">
        <v>374</v>
      </c>
      <c r="Q10" s="9" t="s">
        <v>376</v>
      </c>
      <c r="R10" s="9" t="s">
        <v>370</v>
      </c>
      <c r="S10" s="9" t="s">
        <v>368</v>
      </c>
      <c r="T10" s="9" t="s">
        <v>475</v>
      </c>
    </row>
    <row r="11" spans="1:20" x14ac:dyDescent="0.25">
      <c r="A11" s="9" t="s">
        <v>475</v>
      </c>
      <c r="B11" s="6" t="s">
        <v>18</v>
      </c>
      <c r="C11" s="6">
        <v>21</v>
      </c>
      <c r="D11" s="7">
        <v>4443360</v>
      </c>
      <c r="E11" s="38">
        <v>2.9000000000000001E-2</v>
      </c>
      <c r="F11" s="7">
        <v>4654920</v>
      </c>
      <c r="G11" s="38">
        <v>2.8000000000000001E-2</v>
      </c>
      <c r="H11" s="13">
        <v>7135992</v>
      </c>
      <c r="I11" s="41">
        <v>4.1000000000000002E-2</v>
      </c>
      <c r="J11" s="12" t="s">
        <v>369</v>
      </c>
      <c r="K11" s="42">
        <v>0.11700000000000001</v>
      </c>
      <c r="L11" s="6"/>
      <c r="M11" s="6"/>
      <c r="O11" t="s">
        <v>490</v>
      </c>
      <c r="P11" s="9" t="s">
        <v>372</v>
      </c>
      <c r="Q11" s="9"/>
      <c r="R11" s="9" t="s">
        <v>474</v>
      </c>
      <c r="S11" s="9" t="s">
        <v>378</v>
      </c>
      <c r="T11" s="9" t="s">
        <v>478</v>
      </c>
    </row>
    <row r="12" spans="1:20" x14ac:dyDescent="0.25">
      <c r="A12" s="9" t="s">
        <v>370</v>
      </c>
      <c r="B12" s="6" t="s">
        <v>14</v>
      </c>
      <c r="C12" s="6">
        <v>24</v>
      </c>
      <c r="D12" s="7">
        <v>3861600</v>
      </c>
      <c r="E12" s="38">
        <v>2.5000000000000001E-2</v>
      </c>
      <c r="F12" s="7">
        <v>5939141</v>
      </c>
      <c r="G12" s="38">
        <v>3.5999999999999997E-2</v>
      </c>
      <c r="H12" s="12" t="s">
        <v>371</v>
      </c>
      <c r="I12" s="42">
        <v>0.10199999999999999</v>
      </c>
      <c r="J12" s="6"/>
      <c r="K12" s="6"/>
      <c r="L12" s="6"/>
      <c r="M12" s="6"/>
      <c r="O12" t="s">
        <v>490</v>
      </c>
      <c r="P12" s="9" t="s">
        <v>363</v>
      </c>
      <c r="Q12" s="9" t="s">
        <v>476</v>
      </c>
      <c r="R12" s="9"/>
      <c r="S12" s="9"/>
      <c r="T12" s="9"/>
    </row>
    <row r="13" spans="1:20" x14ac:dyDescent="0.25">
      <c r="A13" s="9" t="s">
        <v>372</v>
      </c>
      <c r="B13" s="6" t="s">
        <v>25</v>
      </c>
      <c r="C13" s="6">
        <v>19</v>
      </c>
      <c r="D13" s="7">
        <v>3658800</v>
      </c>
      <c r="E13" s="38">
        <v>2.4E-2</v>
      </c>
      <c r="F13" s="7">
        <v>3841680</v>
      </c>
      <c r="G13" s="38">
        <v>2.3E-2</v>
      </c>
      <c r="H13" s="13">
        <v>4024440</v>
      </c>
      <c r="I13" s="41">
        <v>2.3E-2</v>
      </c>
      <c r="J13" s="13">
        <v>6205687</v>
      </c>
      <c r="K13" s="41">
        <v>3.4000000000000002E-2</v>
      </c>
      <c r="L13" s="12" t="s">
        <v>373</v>
      </c>
      <c r="M13" s="42">
        <v>9.7000000000000003E-2</v>
      </c>
      <c r="P13" s="9" t="s">
        <v>379</v>
      </c>
      <c r="Q13" s="9" t="s">
        <v>477</v>
      </c>
    </row>
    <row r="14" spans="1:20" x14ac:dyDescent="0.25">
      <c r="A14" s="9" t="s">
        <v>374</v>
      </c>
      <c r="B14" s="6" t="s">
        <v>11</v>
      </c>
      <c r="C14" s="6">
        <v>28</v>
      </c>
      <c r="D14" s="7">
        <v>2378870</v>
      </c>
      <c r="E14" s="38">
        <v>1.4999999999999999E-2</v>
      </c>
      <c r="F14" s="7">
        <v>2584539</v>
      </c>
      <c r="G14" s="38">
        <v>1.6E-2</v>
      </c>
      <c r="H14" s="13">
        <v>2934742</v>
      </c>
      <c r="I14" s="41">
        <v>1.7000000000000001E-2</v>
      </c>
      <c r="J14" s="10" t="s">
        <v>375</v>
      </c>
      <c r="K14" s="40">
        <v>1.4999999999999999E-2</v>
      </c>
      <c r="L14" s="6"/>
      <c r="M14" s="6"/>
    </row>
    <row r="15" spans="1:20" x14ac:dyDescent="0.25">
      <c r="A15" s="9" t="s">
        <v>376</v>
      </c>
      <c r="B15" s="6" t="s">
        <v>11</v>
      </c>
      <c r="C15" s="6">
        <v>24</v>
      </c>
      <c r="D15" s="7">
        <v>1955377</v>
      </c>
      <c r="E15" s="38">
        <v>1.2999999999999999E-2</v>
      </c>
      <c r="F15" s="13">
        <v>2296271</v>
      </c>
      <c r="G15" s="41">
        <v>1.4E-2</v>
      </c>
      <c r="H15" s="12" t="s">
        <v>377</v>
      </c>
      <c r="I15" s="42">
        <v>1.7999999999999999E-2</v>
      </c>
      <c r="J15" s="6"/>
      <c r="K15" s="6"/>
      <c r="L15" s="6"/>
      <c r="M15" s="6"/>
    </row>
    <row r="16" spans="1:20" x14ac:dyDescent="0.25">
      <c r="A16" s="9" t="s">
        <v>378</v>
      </c>
      <c r="B16" s="6" t="s">
        <v>10</v>
      </c>
      <c r="C16" s="6">
        <v>24</v>
      </c>
      <c r="D16" s="7">
        <v>1955377</v>
      </c>
      <c r="E16" s="38">
        <v>1.2999999999999999E-2</v>
      </c>
      <c r="F16" s="12" t="s">
        <v>93</v>
      </c>
      <c r="G16" s="42">
        <v>1.7999999999999999E-2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476</v>
      </c>
      <c r="B17" s="6" t="s">
        <v>29</v>
      </c>
      <c r="C17" s="6">
        <v>24</v>
      </c>
      <c r="D17" s="7">
        <v>395029</v>
      </c>
      <c r="E17" s="38">
        <v>3.0000000000000001E-3</v>
      </c>
      <c r="F17" s="7">
        <v>2584539</v>
      </c>
      <c r="G17" s="38">
        <v>1.6E-2</v>
      </c>
      <c r="H17" s="7">
        <v>2525901</v>
      </c>
      <c r="I17" s="38">
        <v>1.4E-2</v>
      </c>
      <c r="J17" s="12" t="s">
        <v>377</v>
      </c>
      <c r="K17" s="42">
        <v>1.7000000000000001E-2</v>
      </c>
      <c r="L17" s="6"/>
      <c r="M17" s="6"/>
    </row>
    <row r="18" spans="1:13" x14ac:dyDescent="0.25">
      <c r="A18" s="9" t="s">
        <v>379</v>
      </c>
      <c r="B18" s="6" t="s">
        <v>25</v>
      </c>
      <c r="C18" s="6">
        <v>25</v>
      </c>
      <c r="D18" s="6" t="s">
        <v>63</v>
      </c>
      <c r="E18" s="6"/>
      <c r="F18" s="12" t="s">
        <v>64</v>
      </c>
      <c r="G18" s="42">
        <v>1.2999999999999999E-2</v>
      </c>
      <c r="I18" s="6"/>
      <c r="J18" s="6"/>
      <c r="K18" s="6"/>
      <c r="L18" s="6"/>
      <c r="M18" s="6"/>
    </row>
    <row r="19" spans="1:13" x14ac:dyDescent="0.25">
      <c r="A19" s="9" t="s">
        <v>477</v>
      </c>
      <c r="B19" s="6" t="s">
        <v>11</v>
      </c>
      <c r="C19" s="6">
        <v>22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478</v>
      </c>
      <c r="B20" s="6" t="s">
        <v>18</v>
      </c>
      <c r="C20" s="6">
        <v>24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186447146</v>
      </c>
      <c r="E23" s="29"/>
      <c r="F23" s="16">
        <f>SUM(F3:F4,F8,F10:F14,F17)</f>
        <v>131004819</v>
      </c>
      <c r="G23" s="17"/>
      <c r="H23" s="16">
        <f>SUM(H3,H10,H17)</f>
        <v>71213901</v>
      </c>
      <c r="I23" s="17"/>
      <c r="J23" s="16">
        <f>SUM(J10)</f>
        <v>15096000</v>
      </c>
      <c r="K23" s="17"/>
      <c r="L23" s="16">
        <f>SUM(L10)</f>
        <v>16200000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186447146</v>
      </c>
      <c r="E24" s="17"/>
      <c r="F24" s="16">
        <f>F23+E31*6</f>
        <v>139412445</v>
      </c>
      <c r="G24" s="17"/>
      <c r="H24" s="16">
        <f>H23+E32*12</f>
        <v>89710678.200000003</v>
      </c>
      <c r="I24" s="17"/>
      <c r="J24" s="16">
        <f>J23+E33*14</f>
        <v>38833530.740000002</v>
      </c>
      <c r="K24" s="16"/>
      <c r="L24" s="16">
        <f>L23+E34*14</f>
        <v>42311283.814000003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186447146</v>
      </c>
      <c r="E25" s="17"/>
      <c r="F25" s="16">
        <f>F23+F5+F15</f>
        <v>163470734</v>
      </c>
      <c r="G25" s="17"/>
      <c r="H25" s="16">
        <f>H23+H11+H13+H14</f>
        <v>85309075</v>
      </c>
      <c r="I25" s="17"/>
      <c r="J25" s="16">
        <f>J23+J3+J13</f>
        <v>79069687</v>
      </c>
      <c r="K25" s="17"/>
      <c r="L25" s="16">
        <f>L23</f>
        <v>16200000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-31800146</v>
      </c>
      <c r="E28" s="16"/>
      <c r="F28" s="16">
        <f>F26-F24</f>
        <v>25587555</v>
      </c>
      <c r="G28" s="16"/>
      <c r="H28" s="16">
        <f>H26-H24</f>
        <v>83539321.799999997</v>
      </c>
      <c r="I28" s="16"/>
      <c r="J28" s="16">
        <f>J26-J24</f>
        <v>143079469.25999999</v>
      </c>
      <c r="K28" s="16"/>
      <c r="L28" s="16">
        <f>L26-L24</f>
        <v>148697716.18599999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1447854</v>
      </c>
      <c r="E29" s="16"/>
      <c r="F29" s="16">
        <f>F27-F24</f>
        <v>60587555</v>
      </c>
      <c r="G29" s="16"/>
      <c r="H29" s="16">
        <f>H27-H24</f>
        <v>120788321.8</v>
      </c>
      <c r="I29" s="16"/>
      <c r="J29" s="16">
        <f>J27-J24</f>
        <v>182190469.25999999</v>
      </c>
      <c r="K29" s="16"/>
      <c r="L29" s="16">
        <f>L27-L24</f>
        <v>189764716.18599999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B64A-3C09-4282-81BC-D353F5BAB52A}">
  <dimension ref="A1:T34"/>
  <sheetViews>
    <sheetView workbookViewId="0">
      <pane ySplit="2" topLeftCell="A3" activePane="bottomLeft" state="frozen"/>
      <selection pane="bottomLeft" activeCell="R11" sqref="R11"/>
    </sheetView>
  </sheetViews>
  <sheetFormatPr defaultRowHeight="15" x14ac:dyDescent="0.25"/>
  <cols>
    <col min="1" max="1" width="24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4.5703125" bestFit="1" customWidth="1"/>
    <col min="17" max="17" width="16.85546875" bestFit="1" customWidth="1"/>
    <col min="18" max="18" width="24.140625" bestFit="1" customWidth="1"/>
    <col min="19" max="19" width="23.140625" bestFit="1" customWidth="1"/>
    <col min="20" max="20" width="12.5703125" bestFit="1" customWidth="1"/>
  </cols>
  <sheetData>
    <row r="1" spans="1:20" x14ac:dyDescent="0.25">
      <c r="A1" s="75" t="s">
        <v>529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506</v>
      </c>
      <c r="B3" s="6" t="s">
        <v>10</v>
      </c>
      <c r="C3" s="6">
        <v>31</v>
      </c>
      <c r="D3" s="7">
        <v>54126450</v>
      </c>
      <c r="E3" s="38">
        <v>0.35</v>
      </c>
      <c r="F3" s="7">
        <v>58456566</v>
      </c>
      <c r="G3" s="38">
        <v>0.35199999999999998</v>
      </c>
      <c r="H3" s="14">
        <v>62786682</v>
      </c>
      <c r="I3" s="39">
        <v>0.36</v>
      </c>
      <c r="J3" s="10" t="s">
        <v>507</v>
      </c>
      <c r="K3" s="40">
        <v>0.36599999999999999</v>
      </c>
      <c r="L3" s="6"/>
      <c r="M3" s="6"/>
      <c r="O3" s="31" t="s">
        <v>484</v>
      </c>
    </row>
    <row r="4" spans="1:20" x14ac:dyDescent="0.25">
      <c r="A4" s="9" t="s">
        <v>508</v>
      </c>
      <c r="B4" s="6" t="s">
        <v>18</v>
      </c>
      <c r="C4" s="6">
        <v>29</v>
      </c>
      <c r="D4" s="7">
        <v>25318251</v>
      </c>
      <c r="E4" s="38">
        <v>0.16400000000000001</v>
      </c>
      <c r="F4" s="7">
        <v>26584164</v>
      </c>
      <c r="G4" s="38">
        <v>0.16</v>
      </c>
      <c r="H4" s="7">
        <v>27850077</v>
      </c>
      <c r="I4" s="38">
        <v>0.16</v>
      </c>
      <c r="J4" s="14">
        <v>29115990</v>
      </c>
      <c r="K4" s="39">
        <v>0.159</v>
      </c>
      <c r="L4" s="10" t="s">
        <v>509</v>
      </c>
      <c r="M4" s="40">
        <v>0.22700000000000001</v>
      </c>
      <c r="O4" s="32" t="s">
        <v>485</v>
      </c>
    </row>
    <row r="5" spans="1:20" x14ac:dyDescent="0.25">
      <c r="A5" s="9" t="s">
        <v>510</v>
      </c>
      <c r="B5" s="6" t="s">
        <v>10</v>
      </c>
      <c r="C5" s="6">
        <v>30</v>
      </c>
      <c r="D5" s="7">
        <v>22410605</v>
      </c>
      <c r="E5" s="38">
        <v>0.14499999999999999</v>
      </c>
      <c r="F5" s="7">
        <v>20345152</v>
      </c>
      <c r="G5" s="38">
        <v>0.123</v>
      </c>
      <c r="H5" s="10" t="s">
        <v>511</v>
      </c>
      <c r="I5" s="40">
        <v>0.18</v>
      </c>
      <c r="J5" s="6"/>
      <c r="K5" s="6"/>
      <c r="L5" s="6"/>
      <c r="M5" s="6"/>
      <c r="O5" s="33" t="s">
        <v>486</v>
      </c>
    </row>
    <row r="6" spans="1:20" x14ac:dyDescent="0.25">
      <c r="A6" s="9" t="s">
        <v>512</v>
      </c>
      <c r="B6" s="6" t="s">
        <v>10</v>
      </c>
      <c r="C6" s="6">
        <v>30</v>
      </c>
      <c r="D6" s="7">
        <v>13445754</v>
      </c>
      <c r="E6" s="38">
        <v>8.6999999999999994E-2</v>
      </c>
      <c r="F6" s="7">
        <v>14521414</v>
      </c>
      <c r="G6" s="38">
        <v>8.6999999999999994E-2</v>
      </c>
      <c r="H6" s="14">
        <v>15597074</v>
      </c>
      <c r="I6" s="39">
        <v>8.8999999999999996E-2</v>
      </c>
      <c r="J6" s="10" t="s">
        <v>469</v>
      </c>
      <c r="K6" s="40">
        <v>0.128</v>
      </c>
      <c r="L6" s="6"/>
      <c r="M6" s="6"/>
      <c r="O6" s="34" t="s">
        <v>487</v>
      </c>
    </row>
    <row r="7" spans="1:20" x14ac:dyDescent="0.25">
      <c r="A7" s="9" t="s">
        <v>513</v>
      </c>
      <c r="B7" s="6" t="s">
        <v>14</v>
      </c>
      <c r="C7" s="6">
        <v>22</v>
      </c>
      <c r="D7" s="7">
        <v>6670882</v>
      </c>
      <c r="E7" s="38">
        <v>4.2999999999999997E-2</v>
      </c>
      <c r="F7" s="12" t="s">
        <v>514</v>
      </c>
      <c r="G7" s="42">
        <v>0.121</v>
      </c>
      <c r="H7" s="6"/>
      <c r="I7" s="6"/>
      <c r="J7" s="6"/>
      <c r="K7" s="6"/>
      <c r="L7" s="6"/>
      <c r="M7" s="6"/>
    </row>
    <row r="8" spans="1:20" x14ac:dyDescent="0.25">
      <c r="A8" s="9" t="s">
        <v>515</v>
      </c>
      <c r="B8" s="6" t="s">
        <v>25</v>
      </c>
      <c r="C8" s="6">
        <v>25</v>
      </c>
      <c r="D8" s="7">
        <v>5134000</v>
      </c>
      <c r="E8" s="38">
        <v>3.3000000000000002E-2</v>
      </c>
      <c r="F8" s="14">
        <v>5390700</v>
      </c>
      <c r="G8" s="39">
        <v>3.2000000000000001E-2</v>
      </c>
      <c r="H8" s="10" t="s">
        <v>454</v>
      </c>
      <c r="I8" s="40">
        <v>5.8999999999999997E-2</v>
      </c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516</v>
      </c>
      <c r="B9" s="6" t="s">
        <v>11</v>
      </c>
      <c r="C9" s="6">
        <v>23</v>
      </c>
      <c r="D9" s="7">
        <v>4000000</v>
      </c>
      <c r="E9" s="38">
        <v>2.5999999999999999E-2</v>
      </c>
      <c r="F9" s="7">
        <v>4000000</v>
      </c>
      <c r="G9" s="38">
        <v>2.4E-2</v>
      </c>
      <c r="H9" s="14">
        <v>4000000</v>
      </c>
      <c r="I9" s="39">
        <v>2.3E-2</v>
      </c>
      <c r="J9" s="10" t="s">
        <v>181</v>
      </c>
      <c r="K9" s="40">
        <v>4.2000000000000003E-2</v>
      </c>
      <c r="L9" s="6"/>
      <c r="M9" s="6"/>
      <c r="O9" t="s">
        <v>488</v>
      </c>
      <c r="P9" s="9" t="s">
        <v>515</v>
      </c>
      <c r="Q9" s="9" t="s">
        <v>516</v>
      </c>
      <c r="R9" s="9" t="s">
        <v>513</v>
      </c>
      <c r="S9" s="9" t="s">
        <v>506</v>
      </c>
      <c r="T9" s="9" t="s">
        <v>508</v>
      </c>
    </row>
    <row r="10" spans="1:20" x14ac:dyDescent="0.25">
      <c r="A10" s="9" t="s">
        <v>517</v>
      </c>
      <c r="B10" s="6" t="s">
        <v>11</v>
      </c>
      <c r="C10" s="6">
        <v>27</v>
      </c>
      <c r="D10" s="7">
        <v>3697105</v>
      </c>
      <c r="E10" s="38">
        <v>2.4E-2</v>
      </c>
      <c r="F10" s="14">
        <v>3881960</v>
      </c>
      <c r="G10" s="39">
        <v>2.3E-2</v>
      </c>
      <c r="H10" s="10" t="s">
        <v>518</v>
      </c>
      <c r="I10" s="40">
        <v>4.2000000000000003E-2</v>
      </c>
      <c r="J10" s="6"/>
      <c r="K10" s="6"/>
      <c r="L10" s="6"/>
      <c r="M10" s="6"/>
      <c r="O10" t="s">
        <v>489</v>
      </c>
      <c r="P10" s="9"/>
      <c r="Q10" s="9" t="s">
        <v>517</v>
      </c>
      <c r="R10" s="9" t="s">
        <v>523</v>
      </c>
      <c r="S10" s="9" t="s">
        <v>510</v>
      </c>
      <c r="T10" s="9" t="s">
        <v>512</v>
      </c>
    </row>
    <row r="11" spans="1:20" x14ac:dyDescent="0.25">
      <c r="A11" s="9" t="s">
        <v>519</v>
      </c>
      <c r="B11" s="6" t="s">
        <v>11</v>
      </c>
      <c r="C11" s="6">
        <v>31</v>
      </c>
      <c r="D11" s="7">
        <v>3634153</v>
      </c>
      <c r="E11" s="38">
        <v>2.4E-2</v>
      </c>
      <c r="F11" s="14">
        <v>3815861</v>
      </c>
      <c r="G11" s="39">
        <v>2.3E-2</v>
      </c>
      <c r="H11" s="10" t="s">
        <v>58</v>
      </c>
      <c r="I11" s="40">
        <v>1.4999999999999999E-2</v>
      </c>
      <c r="J11" s="6"/>
      <c r="K11" s="6"/>
      <c r="L11" s="6"/>
      <c r="M11" s="6"/>
      <c r="O11" t="s">
        <v>490</v>
      </c>
      <c r="P11" s="9"/>
      <c r="Q11" s="9" t="s">
        <v>519</v>
      </c>
      <c r="R11" s="9" t="s">
        <v>528</v>
      </c>
      <c r="S11" s="9" t="s">
        <v>520</v>
      </c>
      <c r="T11" s="9" t="s">
        <v>521</v>
      </c>
    </row>
    <row r="12" spans="1:20" x14ac:dyDescent="0.25">
      <c r="A12" s="9" t="s">
        <v>520</v>
      </c>
      <c r="B12" s="6" t="s">
        <v>10</v>
      </c>
      <c r="C12" s="6">
        <v>31</v>
      </c>
      <c r="D12" s="7">
        <v>3303774</v>
      </c>
      <c r="E12" s="38">
        <v>2.1000000000000001E-2</v>
      </c>
      <c r="F12" s="14">
        <v>3815861</v>
      </c>
      <c r="G12" s="39">
        <v>2.3E-2</v>
      </c>
      <c r="H12" s="10" t="s">
        <v>57</v>
      </c>
      <c r="I12" s="40">
        <v>1.4E-2</v>
      </c>
      <c r="J12" s="6"/>
      <c r="K12" s="6"/>
      <c r="L12" s="6"/>
      <c r="M12" s="6"/>
      <c r="Q12" s="9" t="s">
        <v>522</v>
      </c>
      <c r="S12" s="9" t="s">
        <v>527</v>
      </c>
    </row>
    <row r="13" spans="1:20" x14ac:dyDescent="0.25">
      <c r="A13" s="9" t="s">
        <v>521</v>
      </c>
      <c r="B13" s="6" t="s">
        <v>18</v>
      </c>
      <c r="C13" s="6">
        <v>27</v>
      </c>
      <c r="D13" s="7">
        <v>2461463</v>
      </c>
      <c r="E13" s="38">
        <v>1.6E-2</v>
      </c>
      <c r="F13" s="14">
        <v>2801346</v>
      </c>
      <c r="G13" s="39">
        <v>1.7000000000000001E-2</v>
      </c>
      <c r="H13" s="10" t="s">
        <v>58</v>
      </c>
      <c r="I13" s="40">
        <v>1.4999999999999999E-2</v>
      </c>
      <c r="J13" s="6"/>
      <c r="K13" s="6"/>
      <c r="L13" s="6"/>
      <c r="M13" s="6"/>
      <c r="Q13" s="9" t="s">
        <v>524</v>
      </c>
    </row>
    <row r="14" spans="1:20" x14ac:dyDescent="0.25">
      <c r="A14" s="9" t="s">
        <v>522</v>
      </c>
      <c r="B14" s="6" t="s">
        <v>11</v>
      </c>
      <c r="C14" s="6">
        <v>26</v>
      </c>
      <c r="D14" s="7">
        <v>2301587</v>
      </c>
      <c r="E14" s="38">
        <v>1.4999999999999999E-2</v>
      </c>
      <c r="F14" s="7">
        <v>10044644</v>
      </c>
      <c r="G14" s="38">
        <v>6.0999999999999999E-2</v>
      </c>
      <c r="H14" s="7">
        <v>10848215</v>
      </c>
      <c r="I14" s="38">
        <v>6.2E-2</v>
      </c>
      <c r="J14" s="7">
        <v>11651786</v>
      </c>
      <c r="K14" s="38">
        <v>6.4000000000000001E-2</v>
      </c>
      <c r="L14" s="7">
        <v>12455355</v>
      </c>
      <c r="M14" s="38">
        <v>6.5000000000000002E-2</v>
      </c>
      <c r="Q14" s="9" t="s">
        <v>525</v>
      </c>
    </row>
    <row r="15" spans="1:20" x14ac:dyDescent="0.25">
      <c r="A15" s="9" t="s">
        <v>523</v>
      </c>
      <c r="B15" s="6" t="s">
        <v>14</v>
      </c>
      <c r="C15" s="6">
        <v>33</v>
      </c>
      <c r="D15" s="7">
        <v>2296274</v>
      </c>
      <c r="E15" s="38">
        <v>1.4999999999999999E-2</v>
      </c>
      <c r="F15" s="10" t="s">
        <v>57</v>
      </c>
      <c r="G15" s="40">
        <v>1.4999999999999999E-2</v>
      </c>
      <c r="H15" s="6"/>
      <c r="I15" s="6"/>
      <c r="J15" s="6"/>
      <c r="K15" s="6"/>
      <c r="L15" s="6"/>
      <c r="M15" s="6"/>
      <c r="Q15" s="9" t="s">
        <v>526</v>
      </c>
    </row>
    <row r="16" spans="1:20" x14ac:dyDescent="0.25">
      <c r="A16" s="9" t="s">
        <v>524</v>
      </c>
      <c r="B16" s="6" t="s">
        <v>11</v>
      </c>
      <c r="C16" s="6">
        <v>24</v>
      </c>
      <c r="D16" s="7">
        <v>2221677</v>
      </c>
      <c r="E16" s="38">
        <v>1.4E-2</v>
      </c>
      <c r="F16" s="13">
        <v>2406205</v>
      </c>
      <c r="G16" s="41">
        <v>1.4E-2</v>
      </c>
      <c r="H16" s="10" t="s">
        <v>32</v>
      </c>
      <c r="I16" s="40">
        <v>1.7000000000000001E-2</v>
      </c>
      <c r="J16" s="6"/>
      <c r="K16" s="6"/>
      <c r="L16" s="6"/>
      <c r="M16" s="6"/>
    </row>
    <row r="17" spans="1:13" x14ac:dyDescent="0.25">
      <c r="A17" s="9" t="s">
        <v>525</v>
      </c>
      <c r="B17" s="6" t="s">
        <v>11</v>
      </c>
      <c r="C17" s="6">
        <v>24</v>
      </c>
      <c r="D17" s="7">
        <v>844607</v>
      </c>
      <c r="E17" s="38">
        <v>5.0000000000000001E-3</v>
      </c>
      <c r="F17" s="10" t="s">
        <v>57</v>
      </c>
      <c r="G17" s="40">
        <v>1.4999999999999999E-2</v>
      </c>
      <c r="H17" s="6"/>
      <c r="I17" s="6"/>
      <c r="J17" s="6"/>
      <c r="K17" s="6"/>
      <c r="L17" s="6"/>
      <c r="M17" s="6"/>
    </row>
    <row r="18" spans="1:13" x14ac:dyDescent="0.25">
      <c r="A18" s="9" t="s">
        <v>526</v>
      </c>
      <c r="B18" s="6" t="s">
        <v>11</v>
      </c>
      <c r="C18" s="6">
        <v>27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527</v>
      </c>
      <c r="B19" s="6" t="s">
        <v>10</v>
      </c>
      <c r="C19" s="6">
        <v>25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528</v>
      </c>
      <c r="B20" s="6" t="s">
        <v>14</v>
      </c>
      <c r="C20" s="6">
        <v>24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151866582</v>
      </c>
      <c r="E23" s="29"/>
      <c r="F23" s="16">
        <f>SUM(F3:F6,F9,F14)</f>
        <v>133951940</v>
      </c>
      <c r="G23" s="17"/>
      <c r="H23" s="16">
        <f>SUM(H4,H14)</f>
        <v>38698292</v>
      </c>
      <c r="I23" s="17"/>
      <c r="J23" s="16">
        <f>SUM(J14)</f>
        <v>11651786</v>
      </c>
      <c r="K23" s="17"/>
      <c r="L23" s="16">
        <f>SUM(L14)</f>
        <v>12455355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151866582</v>
      </c>
      <c r="E24" s="17"/>
      <c r="F24" s="16">
        <f>F23+E31*9</f>
        <v>146563379</v>
      </c>
      <c r="G24" s="17"/>
      <c r="H24" s="16">
        <f>H23+E32*13</f>
        <v>58736467.299999997</v>
      </c>
      <c r="I24" s="17"/>
      <c r="J24" s="16">
        <f>J23+E33*14</f>
        <v>35389316.740000002</v>
      </c>
      <c r="K24" s="16"/>
      <c r="L24" s="16">
        <f>L23+E34*14</f>
        <v>38566638.814000003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151866582</v>
      </c>
      <c r="E25" s="17"/>
      <c r="F25" s="16">
        <f>F23+F8+F10+F11+F12+F13+F16</f>
        <v>156063873</v>
      </c>
      <c r="G25" s="17"/>
      <c r="H25" s="16">
        <f>H23+H3+H6+H9</f>
        <v>121082048</v>
      </c>
      <c r="I25" s="17"/>
      <c r="J25" s="16">
        <f>J23+J4</f>
        <v>40767776</v>
      </c>
      <c r="K25" s="17"/>
      <c r="L25" s="16">
        <f>L23</f>
        <v>12455355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2780418</v>
      </c>
      <c r="E28" s="16"/>
      <c r="F28" s="16">
        <f>F26-F24</f>
        <v>18436621</v>
      </c>
      <c r="G28" s="16"/>
      <c r="H28" s="16">
        <f>H26-H24</f>
        <v>114513532.7</v>
      </c>
      <c r="I28" s="16"/>
      <c r="J28" s="16">
        <f>J26-J24</f>
        <v>146523683.25999999</v>
      </c>
      <c r="K28" s="16"/>
      <c r="L28" s="16">
        <f>L26-L24</f>
        <v>152442361.18599999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36028418</v>
      </c>
      <c r="E29" s="16"/>
      <c r="F29" s="16">
        <f>F27-F24</f>
        <v>53436621</v>
      </c>
      <c r="G29" s="16"/>
      <c r="H29" s="16">
        <f>H27-H24</f>
        <v>151762532.69999999</v>
      </c>
      <c r="I29" s="16"/>
      <c r="J29" s="16">
        <f>J27-J24</f>
        <v>185634683.25999999</v>
      </c>
      <c r="K29" s="16"/>
      <c r="L29" s="16">
        <f>L27-L24</f>
        <v>193509361.18599999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0068-6092-46C8-AE25-F9BF1126F19D}">
  <dimension ref="A1:T34"/>
  <sheetViews>
    <sheetView workbookViewId="0">
      <pane ySplit="2" topLeftCell="A3" activePane="bottomLeft" state="frozen"/>
      <selection pane="bottomLeft" activeCell="K9" sqref="K9"/>
    </sheetView>
  </sheetViews>
  <sheetFormatPr defaultRowHeight="15" x14ac:dyDescent="0.25"/>
  <cols>
    <col min="1" max="1" width="20" bestFit="1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</cols>
  <sheetData>
    <row r="1" spans="1:20" x14ac:dyDescent="0.25">
      <c r="A1" s="75" t="s">
        <v>530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531</v>
      </c>
      <c r="B3" s="6" t="s">
        <v>11</v>
      </c>
      <c r="C3" s="6">
        <v>24</v>
      </c>
      <c r="D3" s="7">
        <v>45550512</v>
      </c>
      <c r="E3" s="38">
        <v>0.29499999999999998</v>
      </c>
      <c r="F3" s="7">
        <v>48924624</v>
      </c>
      <c r="G3" s="38">
        <v>0.29499999999999998</v>
      </c>
      <c r="H3" s="7">
        <v>52298736</v>
      </c>
      <c r="I3" s="38">
        <v>0.3</v>
      </c>
      <c r="J3" s="7">
        <v>55672848</v>
      </c>
      <c r="K3" s="38">
        <v>0.30399999999999999</v>
      </c>
      <c r="L3" s="10" t="s">
        <v>98</v>
      </c>
      <c r="M3" s="40">
        <v>0.35299999999999998</v>
      </c>
      <c r="O3" s="31" t="s">
        <v>484</v>
      </c>
    </row>
    <row r="4" spans="1:20" x14ac:dyDescent="0.25">
      <c r="A4" s="9" t="s">
        <v>532</v>
      </c>
      <c r="B4" s="6" t="s">
        <v>18</v>
      </c>
      <c r="C4" s="6">
        <v>33</v>
      </c>
      <c r="D4" s="7">
        <v>35000000</v>
      </c>
      <c r="E4" s="38">
        <v>0.22600000000000001</v>
      </c>
      <c r="F4" s="7">
        <v>36500000</v>
      </c>
      <c r="G4" s="38">
        <v>0.22</v>
      </c>
      <c r="H4" s="14">
        <v>38000000</v>
      </c>
      <c r="I4" s="39">
        <v>0.218</v>
      </c>
      <c r="J4" s="10" t="s">
        <v>533</v>
      </c>
      <c r="K4" s="40">
        <v>0.311</v>
      </c>
      <c r="L4" s="6"/>
      <c r="M4" s="6"/>
      <c r="O4" s="32" t="s">
        <v>485</v>
      </c>
    </row>
    <row r="5" spans="1:20" x14ac:dyDescent="0.25">
      <c r="A5" s="9" t="s">
        <v>534</v>
      </c>
      <c r="B5" s="6" t="s">
        <v>10</v>
      </c>
      <c r="C5" s="6">
        <v>31</v>
      </c>
      <c r="D5" s="7">
        <v>30864198</v>
      </c>
      <c r="E5" s="38">
        <v>0.2</v>
      </c>
      <c r="F5" s="7">
        <v>33333334</v>
      </c>
      <c r="G5" s="38">
        <v>0.20100000000000001</v>
      </c>
      <c r="H5" s="14">
        <v>35802468</v>
      </c>
      <c r="I5" s="39">
        <v>0.20499999999999999</v>
      </c>
      <c r="J5" s="10" t="s">
        <v>535</v>
      </c>
      <c r="K5" s="40">
        <v>0.29299999999999998</v>
      </c>
      <c r="L5" s="6"/>
      <c r="M5" s="6"/>
      <c r="O5" s="33" t="s">
        <v>486</v>
      </c>
    </row>
    <row r="6" spans="1:20" x14ac:dyDescent="0.25">
      <c r="A6" s="9" t="s">
        <v>536</v>
      </c>
      <c r="B6" s="6" t="s">
        <v>10</v>
      </c>
      <c r="C6" s="6">
        <v>25</v>
      </c>
      <c r="D6" s="7">
        <v>24393103</v>
      </c>
      <c r="E6" s="38">
        <v>0.158</v>
      </c>
      <c r="F6" s="7">
        <v>26200000</v>
      </c>
      <c r="G6" s="38">
        <v>0.158</v>
      </c>
      <c r="H6" s="7">
        <v>28006898</v>
      </c>
      <c r="I6" s="38">
        <v>0.161</v>
      </c>
      <c r="J6" s="7">
        <v>29813790</v>
      </c>
      <c r="K6" s="38">
        <v>0.16300000000000001</v>
      </c>
      <c r="L6" s="10" t="s">
        <v>537</v>
      </c>
      <c r="M6" s="40">
        <v>0.23</v>
      </c>
      <c r="O6" s="34" t="s">
        <v>487</v>
      </c>
    </row>
    <row r="7" spans="1:20" x14ac:dyDescent="0.25">
      <c r="A7" s="9" t="s">
        <v>538</v>
      </c>
      <c r="B7" s="6" t="s">
        <v>18</v>
      </c>
      <c r="C7" s="6">
        <v>26</v>
      </c>
      <c r="D7" s="7">
        <v>21551724</v>
      </c>
      <c r="E7" s="38">
        <v>0.13900000000000001</v>
      </c>
      <c r="F7" s="7">
        <v>23275862</v>
      </c>
      <c r="G7" s="38">
        <v>0.14000000000000001</v>
      </c>
      <c r="H7" s="7">
        <v>25000000</v>
      </c>
      <c r="I7" s="38">
        <v>0.14299999999999999</v>
      </c>
      <c r="J7" s="7">
        <v>26724138</v>
      </c>
      <c r="K7" s="38">
        <v>0.14599999999999999</v>
      </c>
      <c r="L7" s="14">
        <v>28448276</v>
      </c>
      <c r="M7" s="39">
        <v>0.14799999999999999</v>
      </c>
    </row>
    <row r="8" spans="1:20" x14ac:dyDescent="0.25">
      <c r="A8" s="9" t="s">
        <v>539</v>
      </c>
      <c r="B8" s="6" t="s">
        <v>11</v>
      </c>
      <c r="C8" s="6">
        <v>29</v>
      </c>
      <c r="D8" s="7">
        <v>11990000</v>
      </c>
      <c r="E8" s="38">
        <v>7.8E-2</v>
      </c>
      <c r="F8" s="7">
        <v>12535000</v>
      </c>
      <c r="G8" s="38">
        <v>7.5999999999999998E-2</v>
      </c>
      <c r="H8" s="10" t="s">
        <v>540</v>
      </c>
      <c r="I8" s="40">
        <v>0.127</v>
      </c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541</v>
      </c>
      <c r="B9" s="6" t="s">
        <v>25</v>
      </c>
      <c r="C9" s="6">
        <v>26</v>
      </c>
      <c r="D9" s="7">
        <v>7518518</v>
      </c>
      <c r="E9" s="38">
        <v>4.9000000000000002E-2</v>
      </c>
      <c r="F9" s="10" t="s">
        <v>542</v>
      </c>
      <c r="G9" s="40">
        <v>8.5999999999999993E-2</v>
      </c>
      <c r="H9" s="6"/>
      <c r="I9" s="6"/>
      <c r="J9" s="6"/>
      <c r="K9" s="6"/>
      <c r="L9" s="6"/>
      <c r="M9" s="6"/>
      <c r="O9" t="s">
        <v>488</v>
      </c>
      <c r="P9" s="9"/>
      <c r="Q9" s="9"/>
      <c r="R9" s="9"/>
      <c r="S9" s="9"/>
      <c r="T9" s="9"/>
    </row>
    <row r="10" spans="1:20" x14ac:dyDescent="0.25">
      <c r="A10" s="9" t="s">
        <v>543</v>
      </c>
      <c r="B10" s="6" t="s">
        <v>18</v>
      </c>
      <c r="C10" s="6">
        <v>19</v>
      </c>
      <c r="D10" s="7">
        <v>4201080</v>
      </c>
      <c r="E10" s="38">
        <v>2.7E-2</v>
      </c>
      <c r="F10" s="7">
        <v>4411200</v>
      </c>
      <c r="G10" s="38">
        <v>2.7E-2</v>
      </c>
      <c r="H10" s="13">
        <v>4621200</v>
      </c>
      <c r="I10" s="41">
        <v>2.7E-2</v>
      </c>
      <c r="J10" s="13">
        <v>7098163</v>
      </c>
      <c r="K10" s="41">
        <v>3.9E-2</v>
      </c>
      <c r="L10" s="12" t="s">
        <v>544</v>
      </c>
      <c r="M10" s="42">
        <v>0.111</v>
      </c>
      <c r="O10" t="s">
        <v>489</v>
      </c>
      <c r="P10" s="9"/>
      <c r="Q10" s="9"/>
      <c r="R10" s="9"/>
      <c r="S10" s="9"/>
      <c r="T10" s="9"/>
    </row>
    <row r="11" spans="1:20" x14ac:dyDescent="0.25">
      <c r="A11" s="9" t="s">
        <v>545</v>
      </c>
      <c r="B11" s="6" t="s">
        <v>11</v>
      </c>
      <c r="C11" s="6">
        <v>25</v>
      </c>
      <c r="D11" s="7">
        <v>2674080</v>
      </c>
      <c r="E11" s="38">
        <v>1.7000000000000001E-2</v>
      </c>
      <c r="F11" s="7">
        <v>2801640</v>
      </c>
      <c r="G11" s="38">
        <v>1.7000000000000001E-2</v>
      </c>
      <c r="H11" s="13">
        <v>5054159</v>
      </c>
      <c r="I11" s="41">
        <v>2.9000000000000001E-2</v>
      </c>
      <c r="J11" s="12" t="s">
        <v>546</v>
      </c>
      <c r="K11" s="42">
        <v>8.3000000000000004E-2</v>
      </c>
      <c r="L11" s="6"/>
      <c r="M11" s="6"/>
      <c r="O11" t="s">
        <v>490</v>
      </c>
      <c r="P11" s="9"/>
      <c r="Q11" s="9"/>
      <c r="R11" s="9"/>
      <c r="S11" s="9"/>
      <c r="T11" s="9"/>
    </row>
    <row r="12" spans="1:20" x14ac:dyDescent="0.25">
      <c r="A12" s="9" t="s">
        <v>547</v>
      </c>
      <c r="B12" s="6" t="s">
        <v>25</v>
      </c>
      <c r="C12" s="6">
        <v>25</v>
      </c>
      <c r="D12" s="7">
        <v>2296274</v>
      </c>
      <c r="E12" s="38">
        <v>1.4999999999999999E-2</v>
      </c>
      <c r="F12" s="10" t="s">
        <v>57</v>
      </c>
      <c r="G12" s="40">
        <v>1.4999999999999999E-2</v>
      </c>
      <c r="H12" s="6"/>
      <c r="I12" s="6"/>
      <c r="J12" s="6"/>
      <c r="K12" s="6"/>
      <c r="L12" s="6"/>
      <c r="M12" s="6"/>
    </row>
    <row r="13" spans="1:20" x14ac:dyDescent="0.25">
      <c r="A13" s="9" t="s">
        <v>548</v>
      </c>
      <c r="B13" s="6" t="s">
        <v>14</v>
      </c>
      <c r="C13" s="6">
        <v>38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</row>
    <row r="14" spans="1:20" x14ac:dyDescent="0.25">
      <c r="A14" s="9" t="s">
        <v>549</v>
      </c>
      <c r="B14" s="6" t="s">
        <v>14</v>
      </c>
      <c r="C14" s="6">
        <v>22</v>
      </c>
      <c r="D14" s="7">
        <v>2221677</v>
      </c>
      <c r="E14" s="38">
        <v>1.4E-2</v>
      </c>
      <c r="F14" s="13">
        <v>2406205</v>
      </c>
      <c r="G14" s="41">
        <v>1.4E-2</v>
      </c>
      <c r="H14" s="10" t="s">
        <v>32</v>
      </c>
      <c r="I14" s="40">
        <v>1.7000000000000001E-2</v>
      </c>
      <c r="J14" s="6"/>
      <c r="K14" s="6"/>
      <c r="L14" s="6"/>
      <c r="M14" s="6"/>
    </row>
    <row r="15" spans="1:20" x14ac:dyDescent="0.25">
      <c r="A15" s="9" t="s">
        <v>550</v>
      </c>
      <c r="B15" s="6" t="s">
        <v>11</v>
      </c>
      <c r="C15" s="6">
        <v>24</v>
      </c>
      <c r="D15" s="7">
        <v>2191897</v>
      </c>
      <c r="E15" s="38">
        <v>1.4E-2</v>
      </c>
      <c r="F15" s="12" t="s">
        <v>93</v>
      </c>
      <c r="G15" s="42">
        <v>1.7999999999999999E-2</v>
      </c>
      <c r="H15" s="6"/>
      <c r="I15" s="6"/>
      <c r="J15" s="6"/>
      <c r="K15" s="6"/>
      <c r="L15" s="6"/>
      <c r="M15" s="6"/>
    </row>
    <row r="16" spans="1:20" x14ac:dyDescent="0.25">
      <c r="A16" s="9" t="s">
        <v>551</v>
      </c>
      <c r="B16" s="6" t="s">
        <v>25</v>
      </c>
      <c r="C16" s="6">
        <v>38</v>
      </c>
      <c r="D16" s="7">
        <v>725834</v>
      </c>
      <c r="E16" s="38">
        <v>5.0000000000000001E-3</v>
      </c>
      <c r="F16" s="10" t="s">
        <v>57</v>
      </c>
      <c r="G16" s="40">
        <v>1.4999999999999999E-2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552</v>
      </c>
      <c r="B17" s="6" t="s">
        <v>10</v>
      </c>
      <c r="C17" s="6">
        <v>32</v>
      </c>
      <c r="D17" s="7">
        <v>567470</v>
      </c>
      <c r="E17" s="38">
        <v>4.0000000000000001E-3</v>
      </c>
      <c r="F17" s="10" t="s">
        <v>57</v>
      </c>
      <c r="G17" s="40">
        <v>1.4999999999999999E-2</v>
      </c>
      <c r="H17" s="6"/>
      <c r="I17" s="6"/>
      <c r="J17" s="6"/>
      <c r="K17" s="6"/>
      <c r="L17" s="6"/>
      <c r="M17" s="6"/>
    </row>
    <row r="18" spans="1:13" x14ac:dyDescent="0.25">
      <c r="A18" s="9" t="s">
        <v>553</v>
      </c>
      <c r="B18" s="6" t="s">
        <v>18</v>
      </c>
      <c r="C18" s="6">
        <v>19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554</v>
      </c>
      <c r="B19" s="6" t="s">
        <v>25</v>
      </c>
      <c r="C19" s="6">
        <v>24</v>
      </c>
      <c r="D19" s="6" t="s">
        <v>63</v>
      </c>
      <c r="E19" s="6"/>
      <c r="F19" s="6" t="s">
        <v>63</v>
      </c>
      <c r="G19" s="6"/>
      <c r="H19" s="12" t="s">
        <v>64</v>
      </c>
      <c r="I19" s="42">
        <v>1.2999999999999999E-2</v>
      </c>
      <c r="J19" s="6"/>
      <c r="K19" s="6"/>
      <c r="L19" s="6"/>
      <c r="M19" s="6"/>
    </row>
    <row r="20" spans="1:13" x14ac:dyDescent="0.25">
      <c r="A20" s="9" t="s">
        <v>555</v>
      </c>
      <c r="B20" s="6" t="s">
        <v>10</v>
      </c>
      <c r="C20" s="6">
        <v>25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194042641</v>
      </c>
      <c r="E23" s="29"/>
      <c r="F23" s="16">
        <f>SUM(F3:F8,F10:F11)</f>
        <v>187981660</v>
      </c>
      <c r="G23" s="17"/>
      <c r="H23" s="16">
        <f>SUM(H3,H6:H7)</f>
        <v>105305634</v>
      </c>
      <c r="I23" s="17"/>
      <c r="J23" s="16">
        <f>SUM(J3,J6:J7)</f>
        <v>112210776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194042641</v>
      </c>
      <c r="E24" s="17"/>
      <c r="F24" s="16">
        <f>F23+E31*7</f>
        <v>197790557</v>
      </c>
      <c r="G24" s="17"/>
      <c r="H24" s="16">
        <f>H23+E32*12</f>
        <v>123802411.2</v>
      </c>
      <c r="I24" s="17"/>
      <c r="J24" s="16">
        <f>J23+E33*12</f>
        <v>132557230.92</v>
      </c>
      <c r="K24" s="16"/>
      <c r="L24" s="16">
        <f>L23+E34*13</f>
        <v>24246192.113000005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194042641</v>
      </c>
      <c r="E25" s="17"/>
      <c r="F25" s="16">
        <f>F23+F14</f>
        <v>190387865</v>
      </c>
      <c r="G25" s="17"/>
      <c r="H25" s="16">
        <f>H23+H4+H5+H10+H11</f>
        <v>188783461</v>
      </c>
      <c r="I25" s="17"/>
      <c r="J25" s="16">
        <f>J23+J10</f>
        <v>119308939</v>
      </c>
      <c r="K25" s="17"/>
      <c r="L25" s="16">
        <f>L23+L7</f>
        <v>28448276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-39395641</v>
      </c>
      <c r="E28" s="16"/>
      <c r="F28" s="16">
        <f>F26-F24</f>
        <v>-32790557</v>
      </c>
      <c r="G28" s="16"/>
      <c r="H28" s="16">
        <f>H26-H24</f>
        <v>49447588.799999997</v>
      </c>
      <c r="I28" s="16"/>
      <c r="J28" s="16">
        <f>J26-J24</f>
        <v>49355769.079999998</v>
      </c>
      <c r="K28" s="16"/>
      <c r="L28" s="16">
        <f>L26-L24</f>
        <v>166762807.88699999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-6147641</v>
      </c>
      <c r="E29" s="16"/>
      <c r="F29" s="16">
        <f>F27-F24</f>
        <v>2209443</v>
      </c>
      <c r="G29" s="16"/>
      <c r="H29" s="16">
        <f>H27-H24</f>
        <v>86696588.799999997</v>
      </c>
      <c r="I29" s="16"/>
      <c r="J29" s="16">
        <f>J27-J24</f>
        <v>88466769.079999998</v>
      </c>
      <c r="K29" s="16"/>
      <c r="L29" s="16">
        <f>L27-L24</f>
        <v>207829807.88699999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7F6D-F899-4727-9B04-D51A75C7CB39}">
  <dimension ref="A1:T34"/>
  <sheetViews>
    <sheetView workbookViewId="0">
      <pane ySplit="2" topLeftCell="A3" activePane="bottomLeft" state="frozen"/>
      <selection pane="bottomLeft" activeCell="P18" sqref="P18"/>
    </sheetView>
  </sheetViews>
  <sheetFormatPr defaultRowHeight="15" x14ac:dyDescent="0.25"/>
  <cols>
    <col min="1" max="1" width="20.710937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6.140625" bestFit="1" customWidth="1"/>
    <col min="17" max="17" width="12.42578125" bestFit="1" customWidth="1"/>
    <col min="18" max="18" width="14.28515625" bestFit="1" customWidth="1"/>
    <col min="19" max="19" width="15.5703125" bestFit="1" customWidth="1"/>
    <col min="20" max="20" width="15.28515625" bestFit="1" customWidth="1"/>
  </cols>
  <sheetData>
    <row r="1" spans="1:20" x14ac:dyDescent="0.25">
      <c r="A1" s="75" t="s">
        <v>556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557</v>
      </c>
      <c r="B3" s="6" t="s">
        <v>10</v>
      </c>
      <c r="C3" s="6">
        <v>25</v>
      </c>
      <c r="D3" s="7">
        <v>39446090</v>
      </c>
      <c r="E3" s="38">
        <v>0.255</v>
      </c>
      <c r="F3" s="7">
        <v>42166510</v>
      </c>
      <c r="G3" s="38">
        <v>0.254</v>
      </c>
      <c r="H3" s="7">
        <v>44886930</v>
      </c>
      <c r="I3" s="38">
        <v>0.25800000000000001</v>
      </c>
      <c r="J3" s="10" t="s">
        <v>150</v>
      </c>
      <c r="K3" s="40">
        <v>0.29399999999999998</v>
      </c>
      <c r="L3" s="6"/>
      <c r="M3" s="6"/>
      <c r="O3" s="31" t="s">
        <v>484</v>
      </c>
    </row>
    <row r="4" spans="1:20" x14ac:dyDescent="0.25">
      <c r="A4" s="9" t="s">
        <v>558</v>
      </c>
      <c r="B4" s="6" t="s">
        <v>11</v>
      </c>
      <c r="C4" s="6">
        <v>26</v>
      </c>
      <c r="D4" s="7">
        <v>31848215</v>
      </c>
      <c r="E4" s="38">
        <v>0.20599999999999999</v>
      </c>
      <c r="F4" s="7">
        <v>34044642</v>
      </c>
      <c r="G4" s="38">
        <v>0.20499999999999999</v>
      </c>
      <c r="H4" s="10" t="s">
        <v>559</v>
      </c>
      <c r="I4" s="40">
        <v>0.29399999999999998</v>
      </c>
      <c r="J4" s="6"/>
      <c r="K4" s="6"/>
      <c r="L4" s="6"/>
      <c r="M4" s="6"/>
      <c r="O4" s="32" t="s">
        <v>485</v>
      </c>
    </row>
    <row r="5" spans="1:20" x14ac:dyDescent="0.25">
      <c r="A5" s="9" t="s">
        <v>560</v>
      </c>
      <c r="B5" s="6" t="s">
        <v>25</v>
      </c>
      <c r="C5" s="6">
        <v>29</v>
      </c>
      <c r="D5" s="7">
        <v>30801103</v>
      </c>
      <c r="E5" s="38">
        <v>0.19900000000000001</v>
      </c>
      <c r="F5" s="7">
        <v>32785071</v>
      </c>
      <c r="G5" s="38">
        <v>0.19800000000000001</v>
      </c>
      <c r="H5" s="14">
        <v>30751504</v>
      </c>
      <c r="I5" s="39">
        <v>0.17599999999999999</v>
      </c>
      <c r="J5" s="10" t="s">
        <v>452</v>
      </c>
      <c r="K5" s="40">
        <v>0.252</v>
      </c>
      <c r="L5" s="6"/>
      <c r="M5" s="6"/>
      <c r="O5" s="33" t="s">
        <v>486</v>
      </c>
    </row>
    <row r="6" spans="1:20" x14ac:dyDescent="0.25">
      <c r="A6" s="9" t="s">
        <v>561</v>
      </c>
      <c r="B6" s="6" t="s">
        <v>14</v>
      </c>
      <c r="C6" s="6">
        <v>25</v>
      </c>
      <c r="D6" s="7">
        <v>25000000</v>
      </c>
      <c r="E6" s="38">
        <v>0.16200000000000001</v>
      </c>
      <c r="F6" s="7">
        <v>27000000</v>
      </c>
      <c r="G6" s="38">
        <v>0.16300000000000001</v>
      </c>
      <c r="H6" s="7">
        <v>29000000</v>
      </c>
      <c r="I6" s="38">
        <v>0.16600000000000001</v>
      </c>
      <c r="J6" s="7">
        <v>31000000</v>
      </c>
      <c r="K6" s="38">
        <v>0.16900000000000001</v>
      </c>
      <c r="L6" s="10" t="s">
        <v>562</v>
      </c>
      <c r="M6" s="40">
        <v>0.24199999999999999</v>
      </c>
      <c r="O6" s="34" t="s">
        <v>487</v>
      </c>
    </row>
    <row r="7" spans="1:20" x14ac:dyDescent="0.25">
      <c r="A7" s="9" t="s">
        <v>563</v>
      </c>
      <c r="B7" s="6" t="s">
        <v>14</v>
      </c>
      <c r="C7" s="6">
        <v>27</v>
      </c>
      <c r="D7" s="7">
        <v>13937574</v>
      </c>
      <c r="E7" s="38">
        <v>0.09</v>
      </c>
      <c r="F7" s="7">
        <v>14898786</v>
      </c>
      <c r="G7" s="38">
        <v>0.09</v>
      </c>
      <c r="H7" s="7">
        <v>20858300</v>
      </c>
      <c r="I7" s="38">
        <v>0.12</v>
      </c>
      <c r="J7" s="7">
        <v>22526964</v>
      </c>
      <c r="K7" s="38">
        <v>0.123</v>
      </c>
      <c r="L7" s="14">
        <v>24195628</v>
      </c>
      <c r="M7" s="39">
        <v>0.126</v>
      </c>
    </row>
    <row r="8" spans="1:20" x14ac:dyDescent="0.25">
      <c r="A8" s="9" t="s">
        <v>564</v>
      </c>
      <c r="B8" s="6" t="s">
        <v>18</v>
      </c>
      <c r="C8" s="6">
        <v>29</v>
      </c>
      <c r="D8" s="7">
        <v>8000000</v>
      </c>
      <c r="E8" s="38">
        <v>5.1999999999999998E-2</v>
      </c>
      <c r="F8" s="13">
        <v>8000000</v>
      </c>
      <c r="G8" s="41">
        <v>4.8000000000000001E-2</v>
      </c>
      <c r="H8" s="10" t="s">
        <v>565</v>
      </c>
      <c r="I8" s="40">
        <v>0.06</v>
      </c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566</v>
      </c>
      <c r="B9" s="6" t="s">
        <v>25</v>
      </c>
      <c r="C9" s="6">
        <v>19</v>
      </c>
      <c r="D9" s="7">
        <v>7520040</v>
      </c>
      <c r="E9" s="38">
        <v>4.9000000000000002E-2</v>
      </c>
      <c r="F9" s="7">
        <v>7896240</v>
      </c>
      <c r="G9" s="38">
        <v>4.8000000000000001E-2</v>
      </c>
      <c r="H9" s="13">
        <v>8271960</v>
      </c>
      <c r="I9" s="41">
        <v>4.7E-2</v>
      </c>
      <c r="J9" s="13">
        <v>10505389</v>
      </c>
      <c r="K9" s="41">
        <v>5.7000000000000002E-2</v>
      </c>
      <c r="L9" s="12" t="s">
        <v>567</v>
      </c>
      <c r="M9" s="42">
        <v>0.16400000000000001</v>
      </c>
      <c r="O9" t="s">
        <v>488</v>
      </c>
      <c r="P9" s="9" t="s">
        <v>560</v>
      </c>
      <c r="Q9" s="9" t="s">
        <v>558</v>
      </c>
      <c r="R9" s="9" t="s">
        <v>561</v>
      </c>
      <c r="S9" s="9" t="s">
        <v>557</v>
      </c>
      <c r="T9" s="9" t="s">
        <v>575</v>
      </c>
    </row>
    <row r="10" spans="1:20" x14ac:dyDescent="0.25">
      <c r="A10" s="9" t="s">
        <v>568</v>
      </c>
      <c r="B10" s="6" t="s">
        <v>14</v>
      </c>
      <c r="C10" s="6">
        <v>26</v>
      </c>
      <c r="D10" s="7">
        <v>6118644</v>
      </c>
      <c r="E10" s="38">
        <v>0.04</v>
      </c>
      <c r="F10" s="7">
        <v>6440678</v>
      </c>
      <c r="G10" s="38">
        <v>3.9E-2</v>
      </c>
      <c r="H10" s="10" t="s">
        <v>280</v>
      </c>
      <c r="I10" s="40">
        <v>7.0000000000000007E-2</v>
      </c>
      <c r="J10" s="6"/>
      <c r="K10" s="6"/>
      <c r="L10" s="6"/>
      <c r="M10" s="6"/>
      <c r="O10" t="s">
        <v>489</v>
      </c>
      <c r="P10" s="9" t="s">
        <v>566</v>
      </c>
      <c r="Q10" s="9" t="s">
        <v>571</v>
      </c>
      <c r="R10" s="9" t="s">
        <v>563</v>
      </c>
      <c r="S10" s="9" t="s">
        <v>568</v>
      </c>
      <c r="T10" s="9" t="s">
        <v>569</v>
      </c>
    </row>
    <row r="11" spans="1:20" x14ac:dyDescent="0.25">
      <c r="A11" s="9" t="s">
        <v>569</v>
      </c>
      <c r="B11" s="6" t="s">
        <v>18</v>
      </c>
      <c r="C11" s="6">
        <v>21</v>
      </c>
      <c r="D11" s="7">
        <v>5157960</v>
      </c>
      <c r="E11" s="38">
        <v>3.3000000000000002E-2</v>
      </c>
      <c r="F11" s="7">
        <v>5416080</v>
      </c>
      <c r="G11" s="38">
        <v>3.3000000000000002E-2</v>
      </c>
      <c r="H11" s="13">
        <v>5673840</v>
      </c>
      <c r="I11" s="41">
        <v>3.3000000000000002E-2</v>
      </c>
      <c r="J11" s="13">
        <v>8107918</v>
      </c>
      <c r="K11" s="41">
        <v>4.3999999999999997E-2</v>
      </c>
      <c r="L11" s="12" t="s">
        <v>570</v>
      </c>
      <c r="M11" s="42">
        <v>0.127</v>
      </c>
      <c r="O11" t="s">
        <v>490</v>
      </c>
      <c r="P11" s="9"/>
      <c r="Q11" s="9" t="s">
        <v>577</v>
      </c>
      <c r="R11" s="9"/>
      <c r="S11" s="9" t="s">
        <v>576</v>
      </c>
      <c r="T11" s="9" t="s">
        <v>573</v>
      </c>
    </row>
    <row r="12" spans="1:20" x14ac:dyDescent="0.25">
      <c r="A12" s="9" t="s">
        <v>571</v>
      </c>
      <c r="B12" s="6" t="s">
        <v>11</v>
      </c>
      <c r="C12" s="6">
        <v>23</v>
      </c>
      <c r="D12" s="7">
        <v>4741320</v>
      </c>
      <c r="E12" s="38">
        <v>3.1E-2</v>
      </c>
      <c r="F12" s="7">
        <v>7021895</v>
      </c>
      <c r="G12" s="38">
        <v>4.2000000000000003E-2</v>
      </c>
      <c r="H12" s="12" t="s">
        <v>572</v>
      </c>
      <c r="I12" s="42">
        <v>0.121</v>
      </c>
      <c r="J12" s="6"/>
      <c r="K12" s="6"/>
      <c r="L12" s="6"/>
      <c r="M12" s="6"/>
      <c r="Q12" s="9" t="s">
        <v>578</v>
      </c>
      <c r="T12" s="9" t="s">
        <v>564</v>
      </c>
    </row>
    <row r="13" spans="1:20" x14ac:dyDescent="0.25">
      <c r="A13" s="9" t="s">
        <v>573</v>
      </c>
      <c r="B13" s="6" t="s">
        <v>18</v>
      </c>
      <c r="C13" s="6">
        <v>21</v>
      </c>
      <c r="D13" s="7">
        <v>3353040</v>
      </c>
      <c r="E13" s="38">
        <v>2.1999999999999999E-2</v>
      </c>
      <c r="F13" s="7">
        <v>3512760</v>
      </c>
      <c r="G13" s="38">
        <v>2.1000000000000001E-2</v>
      </c>
      <c r="H13" s="13">
        <v>5595827</v>
      </c>
      <c r="I13" s="41">
        <v>3.2000000000000001E-2</v>
      </c>
      <c r="J13" s="12" t="s">
        <v>574</v>
      </c>
      <c r="K13" s="42">
        <v>9.1999999999999998E-2</v>
      </c>
      <c r="L13" s="6"/>
      <c r="M13" s="6"/>
      <c r="Q13" s="9" t="s">
        <v>582</v>
      </c>
      <c r="T13" s="9" t="s">
        <v>580</v>
      </c>
    </row>
    <row r="14" spans="1:20" x14ac:dyDescent="0.25">
      <c r="A14" s="9" t="s">
        <v>575</v>
      </c>
      <c r="B14" s="6" t="s">
        <v>18</v>
      </c>
      <c r="C14" s="6">
        <v>37</v>
      </c>
      <c r="D14" s="7">
        <v>2269880</v>
      </c>
      <c r="E14" s="38">
        <v>1.4999999999999999E-2</v>
      </c>
      <c r="F14" s="10" t="s">
        <v>57</v>
      </c>
      <c r="G14" s="40">
        <v>1.4999999999999999E-2</v>
      </c>
      <c r="H14" s="6"/>
      <c r="I14" s="6"/>
      <c r="J14" s="6"/>
      <c r="K14" s="6"/>
      <c r="L14" s="6"/>
      <c r="M14" s="6"/>
      <c r="T14" s="9" t="s">
        <v>581</v>
      </c>
    </row>
    <row r="15" spans="1:20" x14ac:dyDescent="0.25">
      <c r="A15" s="9" t="s">
        <v>576</v>
      </c>
      <c r="B15" s="6" t="s">
        <v>10</v>
      </c>
      <c r="C15" s="6">
        <v>24</v>
      </c>
      <c r="D15" s="7">
        <v>1955377</v>
      </c>
      <c r="E15" s="38">
        <v>1.2999999999999999E-2</v>
      </c>
      <c r="F15" s="13">
        <v>2296271</v>
      </c>
      <c r="G15" s="41">
        <v>1.4E-2</v>
      </c>
      <c r="H15" s="12" t="s">
        <v>377</v>
      </c>
      <c r="I15" s="42">
        <v>1.7999999999999999E-2</v>
      </c>
      <c r="J15" s="6"/>
      <c r="K15" s="6"/>
      <c r="L15" s="6"/>
      <c r="M15" s="6"/>
    </row>
    <row r="16" spans="1:20" x14ac:dyDescent="0.25">
      <c r="A16" s="9" t="s">
        <v>577</v>
      </c>
      <c r="B16" s="6" t="s">
        <v>11</v>
      </c>
      <c r="C16" s="6">
        <v>24</v>
      </c>
      <c r="D16" s="7">
        <v>1272870</v>
      </c>
      <c r="E16" s="38">
        <v>8.0000000000000002E-3</v>
      </c>
      <c r="F16" s="7">
        <v>2150917</v>
      </c>
      <c r="G16" s="38">
        <v>1.2999999999999999E-2</v>
      </c>
      <c r="H16" s="7">
        <v>2525901</v>
      </c>
      <c r="I16" s="38">
        <v>1.4E-2</v>
      </c>
      <c r="J16" s="13">
        <v>2735698</v>
      </c>
      <c r="K16" s="41">
        <v>1.4999999999999999E-2</v>
      </c>
      <c r="L16" s="10" t="s">
        <v>32</v>
      </c>
      <c r="M16" s="40">
        <v>1.6E-2</v>
      </c>
    </row>
    <row r="17" spans="1:13" x14ac:dyDescent="0.25">
      <c r="A17" s="9" t="s">
        <v>578</v>
      </c>
      <c r="B17" s="6" t="s">
        <v>11</v>
      </c>
      <c r="C17" s="6">
        <v>23</v>
      </c>
      <c r="D17" s="7">
        <v>724598</v>
      </c>
      <c r="E17" s="38">
        <v>5.0000000000000001E-3</v>
      </c>
      <c r="F17" s="13">
        <v>2934742</v>
      </c>
      <c r="G17" s="41">
        <v>1.7000000000000001E-2</v>
      </c>
      <c r="H17" s="10" t="s">
        <v>375</v>
      </c>
      <c r="I17" s="40">
        <v>1.4999999999999999E-2</v>
      </c>
      <c r="L17" s="6"/>
      <c r="M17" s="6"/>
    </row>
    <row r="18" spans="1:13" x14ac:dyDescent="0.25">
      <c r="A18" s="9" t="s">
        <v>580</v>
      </c>
      <c r="B18" s="6" t="s">
        <v>18</v>
      </c>
      <c r="C18" s="6">
        <v>25</v>
      </c>
      <c r="D18" s="6" t="s">
        <v>63</v>
      </c>
      <c r="E18" s="6"/>
      <c r="F18" s="12" t="s">
        <v>64</v>
      </c>
      <c r="G18" s="42">
        <v>1.2999999999999999E-2</v>
      </c>
      <c r="I18" s="6"/>
      <c r="J18" s="6"/>
      <c r="K18" s="6"/>
      <c r="L18" s="6"/>
      <c r="M18" s="6"/>
    </row>
    <row r="19" spans="1:13" x14ac:dyDescent="0.25">
      <c r="A19" s="9" t="s">
        <v>581</v>
      </c>
      <c r="B19" s="6" t="s">
        <v>18</v>
      </c>
      <c r="C19" s="6">
        <v>25</v>
      </c>
      <c r="D19" s="6" t="s">
        <v>63</v>
      </c>
      <c r="E19" s="6"/>
      <c r="F19" s="12" t="s">
        <v>64</v>
      </c>
      <c r="G19" s="42">
        <v>1.2999999999999999E-2</v>
      </c>
      <c r="I19" s="6"/>
      <c r="J19" s="6"/>
      <c r="K19" s="6"/>
      <c r="L19" s="6"/>
      <c r="M19" s="6"/>
    </row>
    <row r="20" spans="1:13" x14ac:dyDescent="0.25">
      <c r="A20" s="9" t="s">
        <v>582</v>
      </c>
      <c r="B20" s="6" t="s">
        <v>11</v>
      </c>
      <c r="C20" s="6">
        <v>22</v>
      </c>
      <c r="D20" s="6" t="s">
        <v>63</v>
      </c>
      <c r="E20" s="6"/>
      <c r="F20" s="12" t="s">
        <v>64</v>
      </c>
      <c r="G20" s="42">
        <v>1.2999999999999999E-2</v>
      </c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182146711</v>
      </c>
      <c r="E23" s="29"/>
      <c r="F23" s="16" t="e">
        <f>SUM(F4,F6:F9,F11:F13,#REF!)</f>
        <v>#REF!</v>
      </c>
      <c r="G23" s="17"/>
      <c r="H23" s="16">
        <f>SUM(H4,H6:H8,H12)</f>
        <v>49858300</v>
      </c>
      <c r="I23" s="17"/>
      <c r="J23" s="16">
        <f>SUM(J4,J12)</f>
        <v>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182146711</v>
      </c>
      <c r="E24" s="17"/>
      <c r="F24" s="16" t="e">
        <f>F23+E31*6</f>
        <v>#REF!</v>
      </c>
      <c r="G24" s="17"/>
      <c r="H24" s="16">
        <f>H23+E32*10</f>
        <v>65272281</v>
      </c>
      <c r="I24" s="17"/>
      <c r="J24" s="16">
        <f>J23+E33*13</f>
        <v>22041992.830000002</v>
      </c>
      <c r="K24" s="16"/>
      <c r="L24" s="16">
        <f>L23+E34*13</f>
        <v>24246192.113000005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182146711</v>
      </c>
      <c r="E25" s="17"/>
      <c r="F25" s="16" t="e">
        <f>F23+F5+F16</f>
        <v>#REF!</v>
      </c>
      <c r="G25" s="17"/>
      <c r="H25" s="16">
        <f>H23+H9+H11+H13+F17</f>
        <v>72334669</v>
      </c>
      <c r="I25" s="17"/>
      <c r="J25" s="16" t="e">
        <f>J23+J6+J8+J13</f>
        <v>#VALUE!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-27499711</v>
      </c>
      <c r="E28" s="16"/>
      <c r="F28" s="16" t="e">
        <f>F26-F24</f>
        <v>#REF!</v>
      </c>
      <c r="G28" s="16"/>
      <c r="H28" s="16">
        <f>H26-H24</f>
        <v>107977719</v>
      </c>
      <c r="I28" s="16"/>
      <c r="J28" s="16">
        <f>J26-J24</f>
        <v>159871007.16999999</v>
      </c>
      <c r="K28" s="16"/>
      <c r="L28" s="16">
        <f>L26-L24</f>
        <v>166762807.88699999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5748289</v>
      </c>
      <c r="E29" s="16"/>
      <c r="F29" s="16" t="e">
        <f>F27-F24</f>
        <v>#REF!</v>
      </c>
      <c r="G29" s="16"/>
      <c r="H29" s="16">
        <f>H27-H24</f>
        <v>145226719</v>
      </c>
      <c r="I29" s="16"/>
      <c r="J29" s="16">
        <f>J27-J24</f>
        <v>198982007.16999999</v>
      </c>
      <c r="K29" s="16"/>
      <c r="L29" s="16">
        <f>L27-L24</f>
        <v>207829807.88699999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CEF-6484-47FF-9BB9-AB980E0A189B}">
  <dimension ref="A1:T34"/>
  <sheetViews>
    <sheetView workbookViewId="0">
      <pane ySplit="2" topLeftCell="A3" activePane="bottomLeft" state="frozen"/>
      <selection pane="bottomLeft" activeCell="Q17" sqref="Q17"/>
    </sheetView>
  </sheetViews>
  <sheetFormatPr defaultRowHeight="15" x14ac:dyDescent="0.25"/>
  <cols>
    <col min="1" max="1" width="19" bestFit="1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3.5703125" bestFit="1" customWidth="1"/>
    <col min="17" max="17" width="17" bestFit="1" customWidth="1"/>
    <col min="18" max="18" width="12.7109375" bestFit="1" customWidth="1"/>
    <col min="19" max="19" width="17.7109375" bestFit="1" customWidth="1"/>
    <col min="20" max="20" width="19" bestFit="1" customWidth="1"/>
  </cols>
  <sheetData>
    <row r="1" spans="1:20" x14ac:dyDescent="0.25">
      <c r="A1" s="75" t="s">
        <v>609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583</v>
      </c>
      <c r="B3" s="6" t="s">
        <v>18</v>
      </c>
      <c r="C3" s="6">
        <v>30</v>
      </c>
      <c r="D3" s="7">
        <v>53142264</v>
      </c>
      <c r="E3" s="38">
        <v>0.34399999999999997</v>
      </c>
      <c r="F3" s="7">
        <v>57078728</v>
      </c>
      <c r="G3" s="38">
        <v>0.34399999999999997</v>
      </c>
      <c r="H3" s="14">
        <v>61015192</v>
      </c>
      <c r="I3" s="39">
        <v>0.35</v>
      </c>
      <c r="J3" s="10" t="s">
        <v>148</v>
      </c>
      <c r="K3" s="40">
        <v>0.39400000000000002</v>
      </c>
      <c r="L3" s="6"/>
      <c r="M3" s="6"/>
      <c r="O3" s="31" t="s">
        <v>484</v>
      </c>
    </row>
    <row r="4" spans="1:20" x14ac:dyDescent="0.25">
      <c r="A4" s="9" t="s">
        <v>584</v>
      </c>
      <c r="B4" s="6" t="s">
        <v>14</v>
      </c>
      <c r="C4" s="6">
        <v>28</v>
      </c>
      <c r="D4" s="7">
        <v>39568966</v>
      </c>
      <c r="E4" s="38">
        <v>0.25600000000000001</v>
      </c>
      <c r="F4" s="7">
        <v>42500000</v>
      </c>
      <c r="G4" s="38">
        <v>0.25600000000000001</v>
      </c>
      <c r="H4" s="7">
        <v>45431034</v>
      </c>
      <c r="I4" s="38">
        <v>0.26100000000000001</v>
      </c>
      <c r="J4" s="14">
        <v>48362068</v>
      </c>
      <c r="K4" s="39">
        <v>0.26400000000000001</v>
      </c>
      <c r="L4" s="10" t="s">
        <v>585</v>
      </c>
      <c r="M4" s="40">
        <v>0.378</v>
      </c>
      <c r="O4" s="32" t="s">
        <v>485</v>
      </c>
    </row>
    <row r="5" spans="1:20" x14ac:dyDescent="0.25">
      <c r="A5" s="9" t="s">
        <v>586</v>
      </c>
      <c r="B5" s="6" t="s">
        <v>25</v>
      </c>
      <c r="C5" s="6">
        <v>29</v>
      </c>
      <c r="D5" s="7">
        <v>34944001</v>
      </c>
      <c r="E5" s="38">
        <v>0.22600000000000001</v>
      </c>
      <c r="F5" s="7">
        <v>37739521</v>
      </c>
      <c r="G5" s="38">
        <v>0.22700000000000001</v>
      </c>
      <c r="H5" s="7">
        <v>40535041</v>
      </c>
      <c r="I5" s="38">
        <v>0.23300000000000001</v>
      </c>
      <c r="J5" s="14">
        <v>43330561</v>
      </c>
      <c r="K5" s="39">
        <v>0.23699999999999999</v>
      </c>
      <c r="L5" s="10" t="s">
        <v>587</v>
      </c>
      <c r="M5" s="40">
        <v>0.33800000000000002</v>
      </c>
      <c r="O5" s="33" t="s">
        <v>486</v>
      </c>
    </row>
    <row r="6" spans="1:20" x14ac:dyDescent="0.25">
      <c r="A6" s="9" t="s">
        <v>588</v>
      </c>
      <c r="B6" s="6" t="s">
        <v>14</v>
      </c>
      <c r="C6" s="6">
        <v>29</v>
      </c>
      <c r="D6" s="7">
        <v>24900000</v>
      </c>
      <c r="E6" s="38">
        <v>0.161</v>
      </c>
      <c r="F6" s="7">
        <v>33482145</v>
      </c>
      <c r="G6" s="38">
        <v>0.20200000000000001</v>
      </c>
      <c r="H6" s="7">
        <v>36160714</v>
      </c>
      <c r="I6" s="38">
        <v>0.20699999999999999</v>
      </c>
      <c r="J6" s="7">
        <v>38839285</v>
      </c>
      <c r="K6" s="38">
        <v>0.21199999999999999</v>
      </c>
      <c r="L6" s="14">
        <v>41517856</v>
      </c>
      <c r="M6" s="39">
        <v>0.216</v>
      </c>
      <c r="O6" s="34" t="s">
        <v>487</v>
      </c>
    </row>
    <row r="7" spans="1:20" x14ac:dyDescent="0.25">
      <c r="A7" s="9" t="s">
        <v>589</v>
      </c>
      <c r="B7" s="6" t="s">
        <v>11</v>
      </c>
      <c r="C7" s="6">
        <v>30</v>
      </c>
      <c r="D7" s="7">
        <v>19472240</v>
      </c>
      <c r="E7" s="38">
        <v>0.126</v>
      </c>
      <c r="F7" s="7">
        <v>20923760</v>
      </c>
      <c r="G7" s="38">
        <v>0.126</v>
      </c>
      <c r="H7" s="13">
        <v>22375280</v>
      </c>
      <c r="I7" s="41">
        <v>0.128</v>
      </c>
      <c r="J7" s="10" t="s">
        <v>590</v>
      </c>
      <c r="K7" s="40">
        <v>0.183</v>
      </c>
      <c r="L7" s="6"/>
      <c r="M7" s="6"/>
    </row>
    <row r="8" spans="1:20" x14ac:dyDescent="0.25">
      <c r="A8" s="9" t="s">
        <v>591</v>
      </c>
      <c r="B8" s="6" t="s">
        <v>18</v>
      </c>
      <c r="C8" s="6">
        <v>27</v>
      </c>
      <c r="D8" s="7">
        <v>12954546</v>
      </c>
      <c r="E8" s="38">
        <v>8.4000000000000005E-2</v>
      </c>
      <c r="F8" s="10" t="s">
        <v>592</v>
      </c>
      <c r="G8" s="40">
        <v>0.14799999999999999</v>
      </c>
      <c r="H8" s="6"/>
      <c r="I8" s="6"/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593</v>
      </c>
      <c r="B9" s="6" t="s">
        <v>25</v>
      </c>
      <c r="C9" s="6">
        <v>27</v>
      </c>
      <c r="D9" s="7">
        <v>4500000</v>
      </c>
      <c r="E9" s="38">
        <v>2.9000000000000001E-2</v>
      </c>
      <c r="F9" s="14">
        <v>4500000</v>
      </c>
      <c r="G9" s="39">
        <v>2.7E-2</v>
      </c>
      <c r="H9" s="10" t="s">
        <v>594</v>
      </c>
      <c r="I9" s="40">
        <v>4.9000000000000002E-2</v>
      </c>
      <c r="J9" s="6"/>
      <c r="K9" s="6"/>
      <c r="L9" s="6"/>
      <c r="M9" s="6"/>
      <c r="O9" t="s">
        <v>488</v>
      </c>
      <c r="P9" s="9" t="s">
        <v>586</v>
      </c>
      <c r="Q9" s="9" t="s">
        <v>588</v>
      </c>
      <c r="R9" s="9" t="s">
        <v>584</v>
      </c>
      <c r="S9" s="9" t="s">
        <v>589</v>
      </c>
      <c r="T9" s="9" t="s">
        <v>583</v>
      </c>
    </row>
    <row r="10" spans="1:20" x14ac:dyDescent="0.25">
      <c r="A10" s="9" t="s">
        <v>595</v>
      </c>
      <c r="B10" s="6" t="s">
        <v>25</v>
      </c>
      <c r="C10" s="6">
        <v>25</v>
      </c>
      <c r="D10" s="7">
        <v>4333333</v>
      </c>
      <c r="E10" s="38">
        <v>2.8000000000000001E-2</v>
      </c>
      <c r="F10" s="7">
        <v>3956523</v>
      </c>
      <c r="G10" s="38">
        <v>2.4E-2</v>
      </c>
      <c r="H10" s="10" t="s">
        <v>596</v>
      </c>
      <c r="I10" s="40">
        <v>4.2999999999999997E-2</v>
      </c>
      <c r="J10" s="6"/>
      <c r="K10" s="6"/>
      <c r="L10" s="6"/>
      <c r="M10" s="6"/>
      <c r="O10" t="s">
        <v>489</v>
      </c>
      <c r="P10" s="9" t="s">
        <v>595</v>
      </c>
      <c r="Q10" s="9" t="s">
        <v>599</v>
      </c>
      <c r="R10" s="9" t="s">
        <v>607</v>
      </c>
      <c r="S10" s="9" t="s">
        <v>603</v>
      </c>
      <c r="T10" s="9" t="s">
        <v>591</v>
      </c>
    </row>
    <row r="11" spans="1:20" x14ac:dyDescent="0.25">
      <c r="A11" s="9" t="s">
        <v>597</v>
      </c>
      <c r="B11" s="6" t="s">
        <v>11</v>
      </c>
      <c r="C11" s="6">
        <v>20</v>
      </c>
      <c r="D11" s="7">
        <v>2847600</v>
      </c>
      <c r="E11" s="38">
        <v>1.7999999999999999E-2</v>
      </c>
      <c r="F11" s="7">
        <v>2983680</v>
      </c>
      <c r="G11" s="38">
        <v>1.7999999999999999E-2</v>
      </c>
      <c r="H11" s="13">
        <v>5373608</v>
      </c>
      <c r="I11" s="41">
        <v>3.1E-2</v>
      </c>
      <c r="J11" s="12" t="s">
        <v>598</v>
      </c>
      <c r="K11" s="42">
        <v>8.7999999999999995E-2</v>
      </c>
      <c r="L11" s="6"/>
      <c r="M11" s="6"/>
      <c r="O11" t="s">
        <v>490</v>
      </c>
      <c r="P11" s="9" t="s">
        <v>593</v>
      </c>
      <c r="Q11" s="9" t="s">
        <v>600</v>
      </c>
      <c r="R11" s="9" t="s">
        <v>608</v>
      </c>
      <c r="S11" s="9" t="s">
        <v>605</v>
      </c>
      <c r="T11" s="9" t="s">
        <v>602</v>
      </c>
    </row>
    <row r="12" spans="1:20" x14ac:dyDescent="0.25">
      <c r="A12" s="9" t="s">
        <v>599</v>
      </c>
      <c r="B12" s="6" t="s">
        <v>11</v>
      </c>
      <c r="C12" s="6">
        <v>28</v>
      </c>
      <c r="D12" s="7">
        <v>2296274</v>
      </c>
      <c r="E12" s="38">
        <v>1.4999999999999999E-2</v>
      </c>
      <c r="F12" s="10" t="s">
        <v>57</v>
      </c>
      <c r="G12" s="40">
        <v>1.4999999999999999E-2</v>
      </c>
      <c r="H12" s="6"/>
      <c r="I12" s="6"/>
      <c r="J12" s="6"/>
      <c r="K12" s="6"/>
      <c r="L12" s="6"/>
      <c r="M12" s="6"/>
      <c r="P12" s="9" t="s">
        <v>601</v>
      </c>
      <c r="Q12" s="9" t="s">
        <v>597</v>
      </c>
    </row>
    <row r="13" spans="1:20" x14ac:dyDescent="0.25">
      <c r="A13" s="9" t="s">
        <v>600</v>
      </c>
      <c r="B13" s="6" t="s">
        <v>11</v>
      </c>
      <c r="C13" s="6">
        <v>33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  <c r="Q13" s="9" t="s">
        <v>606</v>
      </c>
    </row>
    <row r="14" spans="1:20" x14ac:dyDescent="0.25">
      <c r="A14" s="9" t="s">
        <v>601</v>
      </c>
      <c r="B14" s="6" t="s">
        <v>25</v>
      </c>
      <c r="C14" s="6">
        <v>24</v>
      </c>
      <c r="D14" s="7">
        <v>2191897</v>
      </c>
      <c r="E14" s="38">
        <v>1.4E-2</v>
      </c>
      <c r="F14" s="7">
        <v>2296271</v>
      </c>
      <c r="G14" s="38">
        <v>1.4E-2</v>
      </c>
      <c r="H14" s="13">
        <v>2486995</v>
      </c>
      <c r="I14" s="41">
        <v>1.4E-2</v>
      </c>
      <c r="J14" s="12" t="s">
        <v>377</v>
      </c>
      <c r="K14" s="42">
        <v>1.7000000000000001E-2</v>
      </c>
      <c r="L14" s="6"/>
      <c r="M14" s="6"/>
    </row>
    <row r="15" spans="1:20" x14ac:dyDescent="0.25">
      <c r="A15" s="9" t="s">
        <v>602</v>
      </c>
      <c r="B15" s="6" t="s">
        <v>18</v>
      </c>
      <c r="C15" s="6">
        <v>23</v>
      </c>
      <c r="D15" s="7">
        <v>1955377</v>
      </c>
      <c r="E15" s="38">
        <v>1.2999999999999999E-2</v>
      </c>
      <c r="F15" s="12" t="s">
        <v>225</v>
      </c>
      <c r="G15" s="42">
        <v>1.6E-2</v>
      </c>
      <c r="H15" s="6"/>
      <c r="I15" s="6"/>
      <c r="J15" s="6"/>
      <c r="K15" s="6"/>
      <c r="L15" s="6"/>
      <c r="M15" s="6"/>
    </row>
    <row r="16" spans="1:20" x14ac:dyDescent="0.25">
      <c r="A16" s="9" t="s">
        <v>603</v>
      </c>
      <c r="B16" s="6" t="s">
        <v>10</v>
      </c>
      <c r="C16" s="6">
        <v>20</v>
      </c>
      <c r="D16" s="7">
        <v>1272870</v>
      </c>
      <c r="E16" s="38">
        <v>8.0000000000000002E-3</v>
      </c>
      <c r="F16" s="12" t="s">
        <v>604</v>
      </c>
      <c r="G16" s="42">
        <v>1.4E-2</v>
      </c>
      <c r="H16" s="6"/>
      <c r="I16" s="6"/>
      <c r="J16" s="6"/>
      <c r="K16" s="6"/>
      <c r="L16" s="6"/>
      <c r="M16" s="6"/>
    </row>
    <row r="17" spans="1:13" x14ac:dyDescent="0.25">
      <c r="A17" s="9" t="s">
        <v>605</v>
      </c>
      <c r="B17" s="6" t="s">
        <v>10</v>
      </c>
      <c r="C17" s="6">
        <v>22</v>
      </c>
      <c r="D17" s="7">
        <v>778622</v>
      </c>
      <c r="E17" s="38">
        <v>5.0000000000000001E-3</v>
      </c>
      <c r="F17" s="10" t="s">
        <v>57</v>
      </c>
      <c r="G17" s="40">
        <v>1.4999999999999999E-2</v>
      </c>
      <c r="H17" s="6"/>
      <c r="I17" s="6"/>
      <c r="J17" s="6"/>
      <c r="K17" s="6"/>
      <c r="L17" s="6"/>
      <c r="M17" s="6"/>
    </row>
    <row r="18" spans="1:13" x14ac:dyDescent="0.25">
      <c r="A18" s="9" t="s">
        <v>606</v>
      </c>
      <c r="B18" s="6" t="s">
        <v>11</v>
      </c>
      <c r="C18" s="6">
        <v>24</v>
      </c>
      <c r="D18" s="6" t="s">
        <v>63</v>
      </c>
      <c r="E18" s="6"/>
      <c r="F18" s="1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607</v>
      </c>
      <c r="B19" s="6" t="s">
        <v>14</v>
      </c>
      <c r="C19" s="6">
        <v>24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608</v>
      </c>
      <c r="B20" s="6" t="s">
        <v>10</v>
      </c>
      <c r="C20" s="6">
        <v>26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207454264</v>
      </c>
      <c r="E23" s="29"/>
      <c r="F23" s="16">
        <f>SUM(F3:F7,F10:F11,F14)</f>
        <v>200960628</v>
      </c>
      <c r="G23" s="17"/>
      <c r="H23" s="16">
        <f>SUM(H4:H6)</f>
        <v>122126789</v>
      </c>
      <c r="I23" s="17"/>
      <c r="J23" s="16">
        <f>SUM(J6)</f>
        <v>38839285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207454264</v>
      </c>
      <c r="E24" s="17"/>
      <c r="F24" s="16">
        <f>F23+E31*7</f>
        <v>210769525</v>
      </c>
      <c r="G24" s="17"/>
      <c r="H24" s="16">
        <f>H23+E32*12</f>
        <v>140623566.19999999</v>
      </c>
      <c r="I24" s="17"/>
      <c r="J24" s="16">
        <f>J23+E33*14</f>
        <v>62576815.740000002</v>
      </c>
      <c r="K24" s="16"/>
      <c r="L24" s="16">
        <f>L23+E34*13</f>
        <v>24246192.113000005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207454264</v>
      </c>
      <c r="E25" s="17"/>
      <c r="F25" s="16">
        <f>F23+F9</f>
        <v>205460628</v>
      </c>
      <c r="G25" s="17"/>
      <c r="H25" s="16">
        <f>H23+H3+H7+H11+H14</f>
        <v>213377864</v>
      </c>
      <c r="I25" s="17"/>
      <c r="J25" s="16">
        <f>J23+J4+J5</f>
        <v>130531914</v>
      </c>
      <c r="K25" s="17"/>
      <c r="L25" s="16">
        <f>L23+L6</f>
        <v>41517856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-52807264</v>
      </c>
      <c r="E28" s="16"/>
      <c r="F28" s="16">
        <f>F26-F24</f>
        <v>-45769525</v>
      </c>
      <c r="G28" s="16"/>
      <c r="H28" s="16">
        <f>H26-H24</f>
        <v>32626433.800000012</v>
      </c>
      <c r="I28" s="16"/>
      <c r="J28" s="16">
        <f>J26-J24</f>
        <v>119336184.25999999</v>
      </c>
      <c r="K28" s="16"/>
      <c r="L28" s="16">
        <f>L26-L24</f>
        <v>166762807.88699999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-19559264</v>
      </c>
      <c r="E29" s="16"/>
      <c r="F29" s="16">
        <f>F27-F24</f>
        <v>-10769525</v>
      </c>
      <c r="G29" s="16"/>
      <c r="H29" s="16">
        <f>H27-H24</f>
        <v>69875433.800000012</v>
      </c>
      <c r="I29" s="16"/>
      <c r="J29" s="16">
        <f>J27-J24</f>
        <v>158447184.25999999</v>
      </c>
      <c r="K29" s="16"/>
      <c r="L29" s="16">
        <f>L27-L24</f>
        <v>207829807.88699999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8D53-6CD0-4759-BA80-B9607D40A79A}">
  <dimension ref="A1:T34"/>
  <sheetViews>
    <sheetView workbookViewId="0">
      <pane ySplit="2" topLeftCell="A3" activePane="bottomLeft" state="frozen"/>
      <selection pane="bottomLeft" activeCell="L26" sqref="L26"/>
    </sheetView>
  </sheetViews>
  <sheetFormatPr defaultRowHeight="15" x14ac:dyDescent="0.25"/>
  <cols>
    <col min="1" max="1" width="22.8554687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23.42578125" bestFit="1" customWidth="1"/>
    <col min="17" max="17" width="14.42578125" bestFit="1" customWidth="1"/>
    <col min="18" max="18" width="16.140625" bestFit="1" customWidth="1"/>
    <col min="19" max="19" width="16.28515625" bestFit="1" customWidth="1"/>
    <col min="20" max="20" width="17.7109375" bestFit="1" customWidth="1"/>
  </cols>
  <sheetData>
    <row r="1" spans="1:20" x14ac:dyDescent="0.25">
      <c r="A1" s="75" t="s">
        <v>610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611</v>
      </c>
      <c r="B3" s="6" t="s">
        <v>25</v>
      </c>
      <c r="C3" s="6">
        <v>27</v>
      </c>
      <c r="D3" s="7">
        <v>38333050</v>
      </c>
      <c r="E3" s="38">
        <v>0.248</v>
      </c>
      <c r="F3" s="7">
        <v>40806150</v>
      </c>
      <c r="G3" s="38">
        <v>0.246</v>
      </c>
      <c r="H3" s="7">
        <v>61005000</v>
      </c>
      <c r="I3" s="38">
        <v>0.35</v>
      </c>
      <c r="J3" s="7">
        <v>65885400</v>
      </c>
      <c r="K3" s="38">
        <v>0.36</v>
      </c>
      <c r="L3" s="7">
        <v>70765800</v>
      </c>
      <c r="M3" s="38">
        <v>0.36799999999999999</v>
      </c>
      <c r="O3" s="31" t="s">
        <v>484</v>
      </c>
    </row>
    <row r="4" spans="1:20" x14ac:dyDescent="0.25">
      <c r="A4" s="9" t="s">
        <v>612</v>
      </c>
      <c r="B4" s="6" t="s">
        <v>18</v>
      </c>
      <c r="C4" s="6">
        <v>27</v>
      </c>
      <c r="D4" s="7">
        <v>28500000</v>
      </c>
      <c r="E4" s="38">
        <v>0.184</v>
      </c>
      <c r="F4" s="13">
        <v>28500000</v>
      </c>
      <c r="G4" s="41">
        <v>0.17199999999999999</v>
      </c>
      <c r="H4" s="10" t="s">
        <v>613</v>
      </c>
      <c r="I4" s="40">
        <v>0.245</v>
      </c>
      <c r="J4" s="6"/>
      <c r="K4" s="6"/>
      <c r="L4" s="6"/>
      <c r="M4" s="6"/>
      <c r="O4" s="32" t="s">
        <v>485</v>
      </c>
    </row>
    <row r="5" spans="1:20" x14ac:dyDescent="0.25">
      <c r="A5" s="9" t="s">
        <v>614</v>
      </c>
      <c r="B5" s="6" t="s">
        <v>11</v>
      </c>
      <c r="C5" s="6">
        <v>26</v>
      </c>
      <c r="D5" s="7">
        <v>18222222</v>
      </c>
      <c r="E5" s="38">
        <v>0.11799999999999999</v>
      </c>
      <c r="F5" s="13">
        <v>18222222</v>
      </c>
      <c r="G5" s="41">
        <v>0.11</v>
      </c>
      <c r="H5" s="10" t="s">
        <v>615</v>
      </c>
      <c r="I5" s="40">
        <v>0.157</v>
      </c>
      <c r="J5" s="6"/>
      <c r="K5" s="6"/>
      <c r="L5" s="6"/>
      <c r="M5" s="6"/>
      <c r="O5" s="33" t="s">
        <v>486</v>
      </c>
    </row>
    <row r="6" spans="1:20" x14ac:dyDescent="0.25">
      <c r="A6" s="9" t="s">
        <v>616</v>
      </c>
      <c r="B6" s="6" t="s">
        <v>11</v>
      </c>
      <c r="C6" s="6">
        <v>31</v>
      </c>
      <c r="D6" s="7">
        <v>18102000</v>
      </c>
      <c r="E6" s="38">
        <v>0.11700000000000001</v>
      </c>
      <c r="F6" s="7">
        <v>19550160</v>
      </c>
      <c r="G6" s="38">
        <v>0.11799999999999999</v>
      </c>
      <c r="H6" s="7">
        <v>20998320</v>
      </c>
      <c r="I6" s="38">
        <v>0.12</v>
      </c>
      <c r="J6" s="7">
        <v>22446480</v>
      </c>
      <c r="K6" s="38">
        <v>0.123</v>
      </c>
      <c r="L6" s="10" t="s">
        <v>617</v>
      </c>
      <c r="M6" s="40">
        <v>0.17499999999999999</v>
      </c>
      <c r="O6" s="34" t="s">
        <v>487</v>
      </c>
    </row>
    <row r="7" spans="1:20" x14ac:dyDescent="0.25">
      <c r="A7" s="9" t="s">
        <v>618</v>
      </c>
      <c r="B7" s="6" t="s">
        <v>18</v>
      </c>
      <c r="C7" s="6">
        <v>23</v>
      </c>
      <c r="D7" s="7">
        <v>13731368</v>
      </c>
      <c r="E7" s="38">
        <v>8.8999999999999996E-2</v>
      </c>
      <c r="F7" s="7">
        <v>41500000</v>
      </c>
      <c r="G7" s="38">
        <v>0.25</v>
      </c>
      <c r="H7" s="7">
        <v>44820000</v>
      </c>
      <c r="I7" s="38">
        <v>0.25700000000000001</v>
      </c>
      <c r="J7" s="7">
        <v>48140000</v>
      </c>
      <c r="K7" s="38">
        <v>0.26300000000000001</v>
      </c>
      <c r="L7" s="7">
        <v>51460000</v>
      </c>
      <c r="M7" s="38">
        <v>0.26800000000000002</v>
      </c>
    </row>
    <row r="8" spans="1:20" x14ac:dyDescent="0.25">
      <c r="A8" s="9" t="s">
        <v>619</v>
      </c>
      <c r="B8" s="6" t="s">
        <v>11</v>
      </c>
      <c r="C8" s="6">
        <v>26</v>
      </c>
      <c r="D8" s="7">
        <v>12362338</v>
      </c>
      <c r="E8" s="38">
        <v>0.08</v>
      </c>
      <c r="F8" s="7">
        <v>11323006</v>
      </c>
      <c r="G8" s="38">
        <v>6.8000000000000005E-2</v>
      </c>
      <c r="H8" s="13">
        <v>11323006</v>
      </c>
      <c r="I8" s="41">
        <v>6.5000000000000002E-2</v>
      </c>
      <c r="J8" s="10" t="s">
        <v>620</v>
      </c>
      <c r="K8" s="40">
        <v>0.10100000000000001</v>
      </c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621</v>
      </c>
      <c r="B9" s="6" t="s">
        <v>11</v>
      </c>
      <c r="C9" s="6">
        <v>27</v>
      </c>
      <c r="D9" s="7">
        <v>10102803</v>
      </c>
      <c r="E9" s="38">
        <v>6.5000000000000002E-2</v>
      </c>
      <c r="F9" s="7">
        <v>9224300</v>
      </c>
      <c r="G9" s="38">
        <v>5.6000000000000001E-2</v>
      </c>
      <c r="H9" s="7">
        <v>8345797</v>
      </c>
      <c r="I9" s="38">
        <v>4.8000000000000001E-2</v>
      </c>
      <c r="J9" s="13">
        <v>8345797</v>
      </c>
      <c r="K9" s="41">
        <v>4.5999999999999999E-2</v>
      </c>
      <c r="L9" s="10" t="s">
        <v>622</v>
      </c>
      <c r="M9" s="40">
        <v>8.3000000000000004E-2</v>
      </c>
      <c r="O9" t="s">
        <v>488</v>
      </c>
      <c r="P9" s="9" t="s">
        <v>611</v>
      </c>
      <c r="Q9" s="9" t="s">
        <v>614</v>
      </c>
      <c r="R9" s="9" t="s">
        <v>627</v>
      </c>
      <c r="S9" s="9" t="s">
        <v>618</v>
      </c>
      <c r="T9" s="9" t="s">
        <v>612</v>
      </c>
    </row>
    <row r="10" spans="1:20" x14ac:dyDescent="0.25">
      <c r="A10" s="9" t="s">
        <v>623</v>
      </c>
      <c r="B10" s="6" t="s">
        <v>18</v>
      </c>
      <c r="C10" s="6">
        <v>23</v>
      </c>
      <c r="D10" s="7">
        <v>8450704</v>
      </c>
      <c r="E10" s="38">
        <v>5.5E-2</v>
      </c>
      <c r="F10" s="7">
        <v>7774648</v>
      </c>
      <c r="G10" s="38">
        <v>4.7E-2</v>
      </c>
      <c r="H10" s="13">
        <v>7774648</v>
      </c>
      <c r="I10" s="41">
        <v>4.4999999999999998E-2</v>
      </c>
      <c r="J10" s="10" t="s">
        <v>624</v>
      </c>
      <c r="K10" s="40">
        <v>8.1000000000000003E-2</v>
      </c>
      <c r="L10" s="6"/>
      <c r="M10" s="6"/>
      <c r="O10" t="s">
        <v>489</v>
      </c>
      <c r="P10" s="9" t="s">
        <v>634</v>
      </c>
      <c r="Q10" s="9" t="s">
        <v>619</v>
      </c>
      <c r="R10" s="9" t="s">
        <v>616</v>
      </c>
      <c r="S10" s="9" t="s">
        <v>625</v>
      </c>
      <c r="T10" s="9" t="s">
        <v>623</v>
      </c>
    </row>
    <row r="11" spans="1:20" x14ac:dyDescent="0.25">
      <c r="A11" s="9" t="s">
        <v>625</v>
      </c>
      <c r="B11" s="6" t="s">
        <v>10</v>
      </c>
      <c r="C11" s="6">
        <v>31</v>
      </c>
      <c r="D11" s="7">
        <v>7163000</v>
      </c>
      <c r="E11" s="38">
        <v>4.5999999999999999E-2</v>
      </c>
      <c r="F11" s="13">
        <v>7163000</v>
      </c>
      <c r="G11" s="41">
        <v>4.2999999999999997E-2</v>
      </c>
      <c r="H11" s="10" t="s">
        <v>626</v>
      </c>
      <c r="I11" s="40">
        <v>7.8E-2</v>
      </c>
      <c r="J11" s="6"/>
      <c r="K11" s="6"/>
      <c r="L11" s="6"/>
      <c r="M11" s="6"/>
      <c r="O11" t="s">
        <v>490</v>
      </c>
      <c r="P11" s="9" t="s">
        <v>636</v>
      </c>
      <c r="Q11" s="9" t="s">
        <v>628</v>
      </c>
      <c r="R11" s="9" t="s">
        <v>637</v>
      </c>
      <c r="S11" s="9" t="s">
        <v>621</v>
      </c>
      <c r="T11" s="9" t="s">
        <v>632</v>
      </c>
    </row>
    <row r="12" spans="1:20" x14ac:dyDescent="0.25">
      <c r="A12" s="9" t="s">
        <v>627</v>
      </c>
      <c r="B12" s="6" t="s">
        <v>14</v>
      </c>
      <c r="C12" s="6">
        <v>24</v>
      </c>
      <c r="D12" s="7">
        <v>6580997</v>
      </c>
      <c r="E12" s="38">
        <v>4.2999999999999997E-2</v>
      </c>
      <c r="F12" s="7">
        <v>41500000</v>
      </c>
      <c r="G12" s="38">
        <v>0.25</v>
      </c>
      <c r="H12" s="7">
        <v>44820000</v>
      </c>
      <c r="I12" s="38">
        <v>0.25700000000000001</v>
      </c>
      <c r="J12" s="7">
        <v>48140000</v>
      </c>
      <c r="K12" s="38">
        <v>0.26300000000000001</v>
      </c>
      <c r="L12" s="7">
        <v>51460000</v>
      </c>
      <c r="M12" s="38">
        <v>0.26800000000000002</v>
      </c>
      <c r="P12" s="9" t="s">
        <v>630</v>
      </c>
      <c r="R12" s="9" t="s">
        <v>639</v>
      </c>
      <c r="T12" s="9" t="s">
        <v>638</v>
      </c>
    </row>
    <row r="13" spans="1:20" x14ac:dyDescent="0.25">
      <c r="A13" s="9" t="s">
        <v>628</v>
      </c>
      <c r="B13" s="6" t="s">
        <v>25</v>
      </c>
      <c r="C13" s="6">
        <v>22</v>
      </c>
      <c r="D13" s="7">
        <v>5820240</v>
      </c>
      <c r="E13" s="38">
        <v>3.7999999999999999E-2</v>
      </c>
      <c r="F13" s="7">
        <v>7420806</v>
      </c>
      <c r="G13" s="38">
        <v>4.4999999999999998E-2</v>
      </c>
      <c r="H13" s="12" t="s">
        <v>629</v>
      </c>
      <c r="I13" s="42">
        <v>0.128</v>
      </c>
      <c r="J13" s="6"/>
      <c r="K13" s="6"/>
      <c r="L13" s="6"/>
      <c r="M13" s="6"/>
    </row>
    <row r="14" spans="1:20" x14ac:dyDescent="0.25">
      <c r="A14" s="9" t="s">
        <v>630</v>
      </c>
      <c r="B14" s="6" t="s">
        <v>25</v>
      </c>
      <c r="C14" s="6">
        <v>20</v>
      </c>
      <c r="D14" s="7">
        <v>5182920</v>
      </c>
      <c r="E14" s="38">
        <v>3.4000000000000002E-2</v>
      </c>
      <c r="F14" s="7">
        <v>5429760</v>
      </c>
      <c r="G14" s="38">
        <v>3.3000000000000002E-2</v>
      </c>
      <c r="H14" s="13">
        <v>7482210</v>
      </c>
      <c r="I14" s="41">
        <v>4.2999999999999997E-2</v>
      </c>
      <c r="J14" s="12" t="s">
        <v>631</v>
      </c>
      <c r="K14" s="42">
        <v>0.123</v>
      </c>
      <c r="L14" s="6"/>
      <c r="M14" s="6"/>
    </row>
    <row r="15" spans="1:20" x14ac:dyDescent="0.25">
      <c r="A15" s="9" t="s">
        <v>632</v>
      </c>
      <c r="B15" s="6" t="s">
        <v>18</v>
      </c>
      <c r="C15" s="6">
        <v>20</v>
      </c>
      <c r="D15" s="7">
        <v>4655040</v>
      </c>
      <c r="E15" s="38">
        <v>0.03</v>
      </c>
      <c r="F15" s="7">
        <v>4887720</v>
      </c>
      <c r="G15" s="38">
        <v>2.9000000000000001E-2</v>
      </c>
      <c r="H15" s="13">
        <v>5120400</v>
      </c>
      <c r="I15" s="41">
        <v>2.9000000000000001E-2</v>
      </c>
      <c r="J15" s="13">
        <v>7849573</v>
      </c>
      <c r="K15" s="41">
        <v>4.2999999999999997E-2</v>
      </c>
      <c r="L15" s="12" t="s">
        <v>633</v>
      </c>
      <c r="M15" s="42">
        <v>0.123</v>
      </c>
    </row>
    <row r="16" spans="1:20" x14ac:dyDescent="0.25">
      <c r="A16" s="9" t="s">
        <v>634</v>
      </c>
      <c r="B16" s="6" t="s">
        <v>25</v>
      </c>
      <c r="C16" s="6">
        <v>21</v>
      </c>
      <c r="D16" s="7">
        <v>4221360</v>
      </c>
      <c r="E16" s="38">
        <v>2.7E-2</v>
      </c>
      <c r="F16" s="7">
        <v>4422600</v>
      </c>
      <c r="G16" s="38">
        <v>2.7E-2</v>
      </c>
      <c r="H16" s="13">
        <v>6784268</v>
      </c>
      <c r="I16" s="41">
        <v>3.9E-2</v>
      </c>
      <c r="J16" s="12" t="s">
        <v>635</v>
      </c>
      <c r="K16" s="42">
        <v>0.111</v>
      </c>
      <c r="L16" s="6"/>
      <c r="M16" s="6"/>
    </row>
    <row r="17" spans="1:13" x14ac:dyDescent="0.25">
      <c r="A17" s="9" t="s">
        <v>636</v>
      </c>
      <c r="B17" s="6" t="s">
        <v>25</v>
      </c>
      <c r="C17" s="6">
        <v>23</v>
      </c>
      <c r="D17" s="7">
        <v>3000000</v>
      </c>
      <c r="E17" s="38">
        <v>1.9E-2</v>
      </c>
      <c r="F17" s="7">
        <v>2850000</v>
      </c>
      <c r="G17" s="38">
        <v>1.7000000000000001E-2</v>
      </c>
      <c r="H17" s="13">
        <v>2850000</v>
      </c>
      <c r="I17" s="41">
        <v>1.6E-2</v>
      </c>
      <c r="J17" s="10" t="s">
        <v>351</v>
      </c>
      <c r="K17" s="40">
        <v>0.03</v>
      </c>
      <c r="L17" s="6"/>
      <c r="M17" s="6"/>
    </row>
    <row r="18" spans="1:13" x14ac:dyDescent="0.25">
      <c r="A18" s="9" t="s">
        <v>637</v>
      </c>
      <c r="B18" s="6" t="s">
        <v>14</v>
      </c>
      <c r="C18" s="6">
        <v>23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638</v>
      </c>
      <c r="B19" s="6" t="s">
        <v>18</v>
      </c>
      <c r="C19" s="6">
        <v>26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639</v>
      </c>
      <c r="B20" s="6" t="s">
        <v>14</v>
      </c>
      <c r="C20" s="6">
        <v>23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184428042</v>
      </c>
      <c r="E23" s="29"/>
      <c r="F23" s="16">
        <f>SUM(F3,F6:F10,F12:F17)</f>
        <v>196689150</v>
      </c>
      <c r="G23" s="17"/>
      <c r="H23" s="16">
        <f>SUM(H3,H6:H7,H9,H12)</f>
        <v>179989117</v>
      </c>
      <c r="I23" s="17"/>
      <c r="J23" s="16">
        <f>SUM(J3,J6:J7,J12)</f>
        <v>184611880</v>
      </c>
      <c r="K23" s="17"/>
      <c r="L23" s="16">
        <f>SUM(L3,L7,L12)</f>
        <v>173685800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184428042</v>
      </c>
      <c r="E24" s="17"/>
      <c r="F24" s="16">
        <f>F23+E31*3</f>
        <v>200892963</v>
      </c>
      <c r="G24" s="17"/>
      <c r="H24" s="16">
        <f>H23+E32*10</f>
        <v>195403098</v>
      </c>
      <c r="I24" s="17"/>
      <c r="J24" s="16">
        <f>J23+E33*11</f>
        <v>203262797.00999999</v>
      </c>
      <c r="K24" s="16"/>
      <c r="L24" s="16">
        <f>L23+E34*12</f>
        <v>196066900.412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184428042</v>
      </c>
      <c r="E25" s="17"/>
      <c r="F25" s="16">
        <f>F23+F4+F5+F11</f>
        <v>250574372</v>
      </c>
      <c r="G25" s="17"/>
      <c r="H25" s="16">
        <f>H23+H8+H10+H14+H15+H16+H17</f>
        <v>221323649</v>
      </c>
      <c r="I25" s="17"/>
      <c r="J25" s="16">
        <f>J23+J9+J15</f>
        <v>200807250</v>
      </c>
      <c r="K25" s="17"/>
      <c r="L25" s="16">
        <f>L23</f>
        <v>173685800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-29781042</v>
      </c>
      <c r="E28" s="16"/>
      <c r="F28" s="16">
        <f>F26-F24</f>
        <v>-35892963</v>
      </c>
      <c r="G28" s="16"/>
      <c r="H28" s="16">
        <f>H26-H24</f>
        <v>-22153098</v>
      </c>
      <c r="I28" s="16"/>
      <c r="J28" s="16">
        <f>J26-J24</f>
        <v>-21349797.00999999</v>
      </c>
      <c r="K28" s="16"/>
      <c r="L28" s="16">
        <f>L26-L24</f>
        <v>-5057900.4120000005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3466958</v>
      </c>
      <c r="E29" s="16"/>
      <c r="F29" s="16">
        <f>F27-F24</f>
        <v>-892963</v>
      </c>
      <c r="G29" s="16"/>
      <c r="H29" s="16">
        <f>H27-H24</f>
        <v>15095902</v>
      </c>
      <c r="I29" s="16"/>
      <c r="J29" s="16">
        <f>J27-J24</f>
        <v>17761202.99000001</v>
      </c>
      <c r="K29" s="16"/>
      <c r="L29" s="16">
        <f>L27-L24</f>
        <v>36009099.588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261E-F8B9-4DA1-8059-8242C8E4FD7F}">
  <dimension ref="A1:T33"/>
  <sheetViews>
    <sheetView workbookViewId="0">
      <pane ySplit="2" topLeftCell="A3" activePane="bottomLeft" state="frozen"/>
      <selection pane="bottomLeft" activeCell="R12" sqref="R12"/>
    </sheetView>
  </sheetViews>
  <sheetFormatPr defaultRowHeight="15" x14ac:dyDescent="0.25"/>
  <cols>
    <col min="1" max="1" width="17.42578125" bestFit="1" customWidth="1"/>
    <col min="2" max="2" width="4.28515625" bestFit="1" customWidth="1"/>
    <col min="3" max="3" width="4.140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3.7109375" bestFit="1" customWidth="1"/>
    <col min="17" max="17" width="15.5703125" bestFit="1" customWidth="1"/>
    <col min="18" max="18" width="14.85546875" bestFit="1" customWidth="1"/>
    <col min="19" max="19" width="15.28515625" bestFit="1" customWidth="1"/>
    <col min="20" max="20" width="17.42578125" bestFit="1" customWidth="1"/>
  </cols>
  <sheetData>
    <row r="1" spans="1:20" x14ac:dyDescent="0.25">
      <c r="A1" s="75" t="s">
        <v>662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640</v>
      </c>
      <c r="B3" s="6" t="s">
        <v>14</v>
      </c>
      <c r="C3" s="6">
        <v>24</v>
      </c>
      <c r="D3" s="7">
        <v>38661750</v>
      </c>
      <c r="E3" s="38">
        <v>0.25</v>
      </c>
      <c r="F3" s="7">
        <v>41754690</v>
      </c>
      <c r="G3" s="38">
        <v>0.252</v>
      </c>
      <c r="H3" s="7">
        <v>44847630</v>
      </c>
      <c r="I3" s="38">
        <v>0.25700000000000001</v>
      </c>
      <c r="J3" s="7">
        <v>47940570</v>
      </c>
      <c r="K3" s="38">
        <v>0.26200000000000001</v>
      </c>
      <c r="L3" s="7">
        <v>51033510</v>
      </c>
      <c r="M3" s="38">
        <v>0.26600000000000001</v>
      </c>
      <c r="O3" s="31" t="s">
        <v>484</v>
      </c>
    </row>
    <row r="4" spans="1:20" x14ac:dyDescent="0.25">
      <c r="A4" s="9" t="s">
        <v>641</v>
      </c>
      <c r="B4" s="6" t="s">
        <v>11</v>
      </c>
      <c r="C4" s="6">
        <v>27</v>
      </c>
      <c r="D4" s="7">
        <v>36725670</v>
      </c>
      <c r="E4" s="38">
        <v>0.23699999999999999</v>
      </c>
      <c r="F4" s="7">
        <v>39446090</v>
      </c>
      <c r="G4" s="38">
        <v>0.23799999999999999</v>
      </c>
      <c r="H4" s="7">
        <v>42166510</v>
      </c>
      <c r="I4" s="38">
        <v>0.24199999999999999</v>
      </c>
      <c r="J4" s="7">
        <v>44886930</v>
      </c>
      <c r="K4" s="38">
        <v>0.245</v>
      </c>
      <c r="L4" s="10" t="s">
        <v>642</v>
      </c>
      <c r="M4" s="40">
        <v>0.36599999999999999</v>
      </c>
      <c r="O4" s="32" t="s">
        <v>485</v>
      </c>
    </row>
    <row r="5" spans="1:20" x14ac:dyDescent="0.25">
      <c r="A5" s="9" t="s">
        <v>643</v>
      </c>
      <c r="B5" s="6" t="s">
        <v>11</v>
      </c>
      <c r="C5" s="6">
        <v>24</v>
      </c>
      <c r="D5" s="7">
        <v>35000000</v>
      </c>
      <c r="E5" s="38">
        <v>0.22600000000000001</v>
      </c>
      <c r="F5" s="7">
        <v>32400000</v>
      </c>
      <c r="G5" s="38">
        <v>0.19500000000000001</v>
      </c>
      <c r="H5" s="7">
        <v>29600000</v>
      </c>
      <c r="I5" s="38">
        <v>0.17</v>
      </c>
      <c r="J5" s="7">
        <v>26800000</v>
      </c>
      <c r="K5" s="38">
        <v>0.14599999999999999</v>
      </c>
      <c r="L5" s="7">
        <v>26700000</v>
      </c>
      <c r="M5" s="38">
        <v>0.13900000000000001</v>
      </c>
      <c r="O5" s="33" t="s">
        <v>486</v>
      </c>
    </row>
    <row r="6" spans="1:20" x14ac:dyDescent="0.25">
      <c r="A6" s="9" t="s">
        <v>644</v>
      </c>
      <c r="B6" s="6" t="s">
        <v>10</v>
      </c>
      <c r="C6" s="6">
        <v>23</v>
      </c>
      <c r="D6" s="7">
        <v>15334769</v>
      </c>
      <c r="E6" s="38">
        <v>9.9000000000000005E-2</v>
      </c>
      <c r="F6" s="7">
        <v>41500000</v>
      </c>
      <c r="G6" s="38">
        <v>0.25</v>
      </c>
      <c r="H6" s="7">
        <v>44820000</v>
      </c>
      <c r="I6" s="38">
        <v>0.25700000000000001</v>
      </c>
      <c r="J6" s="7">
        <v>48140000</v>
      </c>
      <c r="K6" s="38">
        <v>0.26300000000000001</v>
      </c>
      <c r="L6" s="7">
        <v>51460000</v>
      </c>
      <c r="M6" s="38">
        <v>0.26800000000000002</v>
      </c>
      <c r="O6" s="34" t="s">
        <v>487</v>
      </c>
    </row>
    <row r="7" spans="1:20" x14ac:dyDescent="0.25">
      <c r="A7" s="9" t="s">
        <v>645</v>
      </c>
      <c r="B7" s="6" t="s">
        <v>10</v>
      </c>
      <c r="C7" s="6">
        <v>28</v>
      </c>
      <c r="D7" s="7">
        <v>15000000</v>
      </c>
      <c r="E7" s="38">
        <v>9.7000000000000003E-2</v>
      </c>
      <c r="F7" s="7">
        <v>14500000</v>
      </c>
      <c r="G7" s="38">
        <v>8.6999999999999994E-2</v>
      </c>
      <c r="H7" s="7">
        <v>14500000</v>
      </c>
      <c r="I7" s="38">
        <v>8.3000000000000004E-2</v>
      </c>
      <c r="J7" s="7">
        <v>15000000</v>
      </c>
      <c r="K7" s="38">
        <v>8.2000000000000003E-2</v>
      </c>
      <c r="L7" s="10" t="s">
        <v>646</v>
      </c>
      <c r="M7" s="40">
        <v>0.11700000000000001</v>
      </c>
    </row>
    <row r="8" spans="1:20" x14ac:dyDescent="0.25">
      <c r="A8" s="9" t="s">
        <v>647</v>
      </c>
      <c r="B8" s="6" t="s">
        <v>18</v>
      </c>
      <c r="C8" s="6">
        <v>26</v>
      </c>
      <c r="D8" s="7">
        <v>10850000</v>
      </c>
      <c r="E8" s="38">
        <v>7.0000000000000007E-2</v>
      </c>
      <c r="F8" s="7">
        <v>18102000</v>
      </c>
      <c r="G8" s="38">
        <v>0.109</v>
      </c>
      <c r="H8" s="7">
        <v>19550160</v>
      </c>
      <c r="I8" s="38">
        <v>0.112</v>
      </c>
      <c r="J8" s="13">
        <v>20998320</v>
      </c>
      <c r="K8" s="41">
        <v>0.115</v>
      </c>
      <c r="L8" s="10" t="s">
        <v>273</v>
      </c>
      <c r="M8" s="40">
        <v>0.16400000000000001</v>
      </c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648</v>
      </c>
      <c r="B9" s="6" t="s">
        <v>18</v>
      </c>
      <c r="C9" s="6">
        <v>26</v>
      </c>
      <c r="D9" s="7">
        <v>8333333</v>
      </c>
      <c r="E9" s="38">
        <v>5.3999999999999999E-2</v>
      </c>
      <c r="F9" s="7">
        <v>7608696</v>
      </c>
      <c r="G9" s="38">
        <v>4.5999999999999999E-2</v>
      </c>
      <c r="H9" s="10" t="s">
        <v>649</v>
      </c>
      <c r="I9" s="40">
        <v>8.3000000000000004E-2</v>
      </c>
      <c r="J9" s="6"/>
      <c r="K9" s="6"/>
      <c r="L9" s="6"/>
      <c r="M9" s="6"/>
      <c r="O9" t="s">
        <v>488</v>
      </c>
      <c r="P9" s="9" t="s">
        <v>643</v>
      </c>
      <c r="Q9" s="9" t="s">
        <v>641</v>
      </c>
      <c r="R9" s="9" t="s">
        <v>640</v>
      </c>
      <c r="S9" s="9" t="s">
        <v>644</v>
      </c>
      <c r="T9" s="9" t="s">
        <v>647</v>
      </c>
    </row>
    <row r="10" spans="1:20" x14ac:dyDescent="0.25">
      <c r="A10" s="9" t="s">
        <v>650</v>
      </c>
      <c r="B10" s="6" t="s">
        <v>11</v>
      </c>
      <c r="C10" s="6">
        <v>22</v>
      </c>
      <c r="D10" s="7">
        <v>7970280</v>
      </c>
      <c r="E10" s="38">
        <v>5.1999999999999998E-2</v>
      </c>
      <c r="F10" s="7">
        <v>10106316</v>
      </c>
      <c r="G10" s="38">
        <v>6.0999999999999999E-2</v>
      </c>
      <c r="H10" s="12" t="s">
        <v>215</v>
      </c>
      <c r="I10" s="42">
        <v>0.17399999999999999</v>
      </c>
      <c r="J10" s="6"/>
      <c r="K10" s="6"/>
      <c r="L10" s="6"/>
      <c r="M10" s="6"/>
      <c r="O10" t="s">
        <v>489</v>
      </c>
      <c r="P10" s="9" t="s">
        <v>650</v>
      </c>
      <c r="Q10" s="9" t="s">
        <v>651</v>
      </c>
      <c r="R10" s="9" t="s">
        <v>653</v>
      </c>
      <c r="S10" s="9" t="s">
        <v>645</v>
      </c>
      <c r="T10" s="9" t="s">
        <v>648</v>
      </c>
    </row>
    <row r="11" spans="1:20" x14ac:dyDescent="0.25">
      <c r="A11" s="9" t="s">
        <v>651</v>
      </c>
      <c r="B11" s="6" t="s">
        <v>11</v>
      </c>
      <c r="C11" s="6">
        <v>22</v>
      </c>
      <c r="D11" s="7">
        <v>5529720</v>
      </c>
      <c r="E11" s="38">
        <v>3.5999999999999997E-2</v>
      </c>
      <c r="F11" s="10" t="s">
        <v>306</v>
      </c>
      <c r="G11" s="40">
        <v>4.3999999999999997E-2</v>
      </c>
      <c r="H11" s="6"/>
      <c r="I11" s="6"/>
      <c r="J11" s="6"/>
      <c r="K11" s="6"/>
      <c r="L11" s="6"/>
      <c r="M11" s="6"/>
      <c r="O11" t="s">
        <v>490</v>
      </c>
      <c r="P11" s="9" t="s">
        <v>658</v>
      </c>
      <c r="Q11" s="9" t="s">
        <v>655</v>
      </c>
      <c r="R11" s="9" t="s">
        <v>657</v>
      </c>
      <c r="S11" s="9" t="s">
        <v>660</v>
      </c>
      <c r="T11" s="9" t="s">
        <v>652</v>
      </c>
    </row>
    <row r="12" spans="1:20" x14ac:dyDescent="0.25">
      <c r="A12" s="9" t="s">
        <v>652</v>
      </c>
      <c r="B12" s="6" t="s">
        <v>18</v>
      </c>
      <c r="C12" s="6">
        <v>28</v>
      </c>
      <c r="D12" s="7">
        <v>5000000</v>
      </c>
      <c r="E12" s="38">
        <v>3.2000000000000001E-2</v>
      </c>
      <c r="F12" s="10" t="s">
        <v>425</v>
      </c>
      <c r="G12" s="40">
        <v>5.7000000000000002E-2</v>
      </c>
      <c r="H12" s="6"/>
      <c r="I12" s="6"/>
      <c r="J12" s="6"/>
      <c r="K12" s="6"/>
      <c r="L12" s="6"/>
      <c r="M12" s="6"/>
      <c r="Q12" s="9" t="s">
        <v>659</v>
      </c>
      <c r="R12" s="9" t="s">
        <v>661</v>
      </c>
    </row>
    <row r="13" spans="1:20" x14ac:dyDescent="0.25">
      <c r="A13" s="9" t="s">
        <v>653</v>
      </c>
      <c r="B13" s="6" t="s">
        <v>14</v>
      </c>
      <c r="C13" s="6">
        <v>24</v>
      </c>
      <c r="D13" s="7">
        <v>3809520</v>
      </c>
      <c r="E13" s="38">
        <v>2.5000000000000001E-2</v>
      </c>
      <c r="F13" s="7">
        <v>3991200</v>
      </c>
      <c r="G13" s="38">
        <v>2.4E-2</v>
      </c>
      <c r="H13" s="13">
        <v>6138466</v>
      </c>
      <c r="I13" s="41">
        <v>3.5000000000000003E-2</v>
      </c>
      <c r="J13" s="12" t="s">
        <v>654</v>
      </c>
      <c r="K13" s="42">
        <v>0.10100000000000001</v>
      </c>
      <c r="L13" s="6"/>
      <c r="M13" s="6"/>
    </row>
    <row r="14" spans="1:20" x14ac:dyDescent="0.25">
      <c r="A14" s="9" t="s">
        <v>655</v>
      </c>
      <c r="B14" s="6" t="s">
        <v>11</v>
      </c>
      <c r="C14" s="6">
        <v>20</v>
      </c>
      <c r="D14" s="7">
        <v>2983320</v>
      </c>
      <c r="E14" s="38">
        <v>1.9E-2</v>
      </c>
      <c r="F14" s="7">
        <v>3132360</v>
      </c>
      <c r="G14" s="38">
        <v>1.9E-2</v>
      </c>
      <c r="H14" s="13">
        <v>3282000</v>
      </c>
      <c r="I14" s="41">
        <v>1.9E-2</v>
      </c>
      <c r="J14" s="13">
        <v>5910882</v>
      </c>
      <c r="K14" s="41">
        <v>3.2000000000000001E-2</v>
      </c>
      <c r="L14" s="12" t="s">
        <v>656</v>
      </c>
      <c r="M14" s="42">
        <v>9.1999999999999998E-2</v>
      </c>
    </row>
    <row r="15" spans="1:20" x14ac:dyDescent="0.25">
      <c r="A15" s="9" t="s">
        <v>657</v>
      </c>
      <c r="B15" s="6" t="s">
        <v>14</v>
      </c>
      <c r="C15" s="6">
        <v>21</v>
      </c>
      <c r="D15" s="7">
        <v>1272870</v>
      </c>
      <c r="E15" s="38">
        <v>8.0000000000000002E-3</v>
      </c>
      <c r="F15" s="7">
        <v>2150917</v>
      </c>
      <c r="G15" s="38">
        <v>1.2999999999999999E-2</v>
      </c>
      <c r="H15" s="7">
        <v>2525901</v>
      </c>
      <c r="I15" s="38">
        <v>1.4E-2</v>
      </c>
      <c r="J15" s="13">
        <v>2735698</v>
      </c>
      <c r="K15" s="41">
        <v>1.4999999999999999E-2</v>
      </c>
      <c r="L15" s="10" t="s">
        <v>32</v>
      </c>
      <c r="M15" s="40">
        <v>1.6E-2</v>
      </c>
    </row>
    <row r="16" spans="1:20" x14ac:dyDescent="0.25">
      <c r="A16" s="9" t="s">
        <v>658</v>
      </c>
      <c r="B16" s="6" t="s">
        <v>25</v>
      </c>
      <c r="C16" s="6">
        <v>30</v>
      </c>
      <c r="D16" s="7">
        <v>871000</v>
      </c>
      <c r="E16" s="38">
        <v>6.0000000000000001E-3</v>
      </c>
      <c r="F16" s="10" t="s">
        <v>57</v>
      </c>
      <c r="G16" s="40">
        <v>1.4999999999999999E-2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659</v>
      </c>
      <c r="B17" s="6" t="s">
        <v>29</v>
      </c>
      <c r="C17" s="6">
        <v>28</v>
      </c>
      <c r="D17" s="6" t="s">
        <v>63</v>
      </c>
      <c r="E17" s="6"/>
      <c r="F17" s="6" t="s">
        <v>63</v>
      </c>
      <c r="G17" s="6"/>
      <c r="H17" s="12" t="s">
        <v>64</v>
      </c>
      <c r="I17" s="42">
        <v>1.2999999999999999E-2</v>
      </c>
      <c r="J17" s="6"/>
      <c r="K17" s="6"/>
      <c r="L17" s="6"/>
      <c r="M17" s="6"/>
    </row>
    <row r="18" spans="1:13" x14ac:dyDescent="0.25">
      <c r="A18" s="9" t="s">
        <v>660</v>
      </c>
      <c r="B18" s="6" t="s">
        <v>10</v>
      </c>
      <c r="C18" s="6">
        <v>25</v>
      </c>
      <c r="D18" s="6" t="s">
        <v>63</v>
      </c>
      <c r="E18" s="6"/>
      <c r="F18" s="1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661</v>
      </c>
      <c r="B19" s="6" t="s">
        <v>14</v>
      </c>
      <c r="C19" s="6">
        <v>26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2" spans="1:13" x14ac:dyDescent="0.25">
      <c r="A22" s="76" t="s">
        <v>65</v>
      </c>
      <c r="B22" s="76"/>
      <c r="C22" s="76"/>
      <c r="D22" s="16">
        <f>SUM(D2:D16)</f>
        <v>187342232</v>
      </c>
      <c r="E22" s="29"/>
      <c r="F22" s="16">
        <f>SUM(F3:F10,F13:F15)</f>
        <v>214692269</v>
      </c>
      <c r="G22" s="17"/>
      <c r="H22" s="16">
        <f>SUM(H3:H8,H15)</f>
        <v>198010201</v>
      </c>
      <c r="I22" s="17"/>
      <c r="J22" s="16">
        <f>SUM(J3:J7)</f>
        <v>182767500</v>
      </c>
      <c r="K22" s="17"/>
      <c r="L22" s="16">
        <f>SUM(L3,L5:L6)</f>
        <v>129193510</v>
      </c>
      <c r="M22" s="3" t="s">
        <v>479</v>
      </c>
    </row>
    <row r="23" spans="1:13" x14ac:dyDescent="0.25">
      <c r="A23" s="71" t="s">
        <v>66</v>
      </c>
      <c r="B23" s="72"/>
      <c r="C23" s="73"/>
      <c r="D23" s="16">
        <f>D22</f>
        <v>187342232</v>
      </c>
      <c r="E23" s="17"/>
      <c r="F23" s="16">
        <f>F22+E30*3</f>
        <v>218896082</v>
      </c>
      <c r="G23" s="17"/>
      <c r="H23" s="16">
        <f>H22+E31*7</f>
        <v>208799987.69999999</v>
      </c>
      <c r="I23" s="17"/>
      <c r="J23" s="16">
        <f>J22+E32*10</f>
        <v>199722879.09999999</v>
      </c>
      <c r="K23" s="16"/>
      <c r="L23" s="16">
        <f>L22+E33*12</f>
        <v>151574610.412</v>
      </c>
      <c r="M23" s="3" t="s">
        <v>480</v>
      </c>
    </row>
    <row r="24" spans="1:13" x14ac:dyDescent="0.25">
      <c r="A24" s="71" t="s">
        <v>67</v>
      </c>
      <c r="B24" s="72"/>
      <c r="C24" s="73"/>
      <c r="D24" s="16">
        <f>D23</f>
        <v>187342232</v>
      </c>
      <c r="E24" s="17"/>
      <c r="F24" s="16">
        <f>F22</f>
        <v>214692269</v>
      </c>
      <c r="G24" s="17"/>
      <c r="H24" s="16">
        <f>H22+H13+H14</f>
        <v>207430667</v>
      </c>
      <c r="I24" s="17"/>
      <c r="J24" s="16">
        <f>J22+J8+J14+J15</f>
        <v>212412400</v>
      </c>
      <c r="K24" s="17"/>
      <c r="L24" s="16">
        <f>L22</f>
        <v>129193510</v>
      </c>
      <c r="M24" s="3" t="s">
        <v>481</v>
      </c>
    </row>
    <row r="25" spans="1:13" x14ac:dyDescent="0.25">
      <c r="A25" s="71" t="s">
        <v>68</v>
      </c>
      <c r="B25" s="72"/>
      <c r="C25" s="73"/>
      <c r="D25" s="16">
        <v>154647000</v>
      </c>
      <c r="E25" s="17"/>
      <c r="F25" s="16">
        <v>165000000</v>
      </c>
      <c r="G25" s="17"/>
      <c r="H25" s="16">
        <v>173250000</v>
      </c>
      <c r="I25" s="17"/>
      <c r="J25" s="16">
        <v>181913000</v>
      </c>
      <c r="K25" s="17"/>
      <c r="L25" s="16">
        <v>191009000</v>
      </c>
      <c r="M25" s="3"/>
    </row>
    <row r="26" spans="1:13" x14ac:dyDescent="0.25">
      <c r="A26" s="71" t="s">
        <v>69</v>
      </c>
      <c r="B26" s="72"/>
      <c r="C26" s="73"/>
      <c r="D26" s="16">
        <v>187895000</v>
      </c>
      <c r="E26" s="17"/>
      <c r="F26" s="29">
        <v>200000000</v>
      </c>
      <c r="G26" s="17"/>
      <c r="H26" s="16">
        <v>210499000</v>
      </c>
      <c r="I26" s="17"/>
      <c r="J26" s="16">
        <v>221024000</v>
      </c>
      <c r="K26" s="17"/>
      <c r="L26" s="16">
        <v>232076000</v>
      </c>
      <c r="M26" s="3"/>
    </row>
    <row r="27" spans="1:13" x14ac:dyDescent="0.25">
      <c r="A27" s="71" t="s">
        <v>70</v>
      </c>
      <c r="B27" s="72"/>
      <c r="C27" s="73"/>
      <c r="D27" s="16">
        <f>D25-D23</f>
        <v>-32695232</v>
      </c>
      <c r="E27" s="16"/>
      <c r="F27" s="16">
        <f>F25-F23</f>
        <v>-53896082</v>
      </c>
      <c r="G27" s="16"/>
      <c r="H27" s="16">
        <f>H25-H23</f>
        <v>-35549987.699999988</v>
      </c>
      <c r="I27" s="16"/>
      <c r="J27" s="16">
        <f>J25-J23</f>
        <v>-17809879.099999994</v>
      </c>
      <c r="K27" s="16"/>
      <c r="L27" s="16">
        <f>L25-L23</f>
        <v>39434389.588</v>
      </c>
      <c r="M27" s="3" t="s">
        <v>482</v>
      </c>
    </row>
    <row r="28" spans="1:13" x14ac:dyDescent="0.25">
      <c r="A28" s="74" t="s">
        <v>71</v>
      </c>
      <c r="B28" s="74"/>
      <c r="C28" s="74"/>
      <c r="D28" s="16">
        <f>D26-D23</f>
        <v>552768</v>
      </c>
      <c r="E28" s="16"/>
      <c r="F28" s="16">
        <f>F26-F23</f>
        <v>-18896082</v>
      </c>
      <c r="G28" s="16"/>
      <c r="H28" s="16">
        <f>H26-H23</f>
        <v>1699012.3000000119</v>
      </c>
      <c r="I28" s="16"/>
      <c r="J28" s="16">
        <f>J26-J23</f>
        <v>21301120.900000006</v>
      </c>
      <c r="K28" s="16"/>
      <c r="L28" s="16">
        <f>L26-L23</f>
        <v>80501389.588</v>
      </c>
      <c r="M28" s="3" t="s">
        <v>483</v>
      </c>
    </row>
    <row r="29" spans="1:13" x14ac:dyDescent="0.25">
      <c r="D29" s="30"/>
      <c r="E29" s="3"/>
      <c r="F29" s="30"/>
      <c r="G29" s="3"/>
      <c r="H29" s="30"/>
      <c r="I29" s="3"/>
      <c r="J29" s="30"/>
      <c r="K29" s="3"/>
      <c r="L29" s="30"/>
      <c r="M29" s="3"/>
    </row>
    <row r="30" spans="1:13" x14ac:dyDescent="0.25">
      <c r="A30" s="75" t="s">
        <v>404</v>
      </c>
      <c r="B30" s="75"/>
      <c r="C30" s="75"/>
      <c r="D30" s="75"/>
      <c r="E30" s="16">
        <v>1401271</v>
      </c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405</v>
      </c>
      <c r="B31" s="75"/>
      <c r="C31" s="75"/>
      <c r="D31" s="75"/>
      <c r="E31" s="16">
        <f>E30*1.1</f>
        <v>1541398.1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406</v>
      </c>
      <c r="B32" s="75"/>
      <c r="C32" s="75"/>
      <c r="D32" s="75"/>
      <c r="E32" s="16">
        <f>E31*1.1</f>
        <v>1695537.9100000001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407</v>
      </c>
      <c r="B33" s="75"/>
      <c r="C33" s="75"/>
      <c r="D33" s="75"/>
      <c r="E33" s="16">
        <f>E32*1.1</f>
        <v>1865091.7010000004</v>
      </c>
      <c r="F33" s="30"/>
      <c r="G33" s="3"/>
      <c r="H33" s="30"/>
      <c r="I33" s="3"/>
      <c r="J33" s="30"/>
      <c r="K33" s="3"/>
      <c r="L33" s="30"/>
      <c r="M33" s="3"/>
    </row>
  </sheetData>
  <mergeCells count="12">
    <mergeCell ref="A27:C27"/>
    <mergeCell ref="A28:C28"/>
    <mergeCell ref="A30:D30"/>
    <mergeCell ref="A31:D31"/>
    <mergeCell ref="A32:D32"/>
    <mergeCell ref="A33:D33"/>
    <mergeCell ref="A1:M1"/>
    <mergeCell ref="A22:C22"/>
    <mergeCell ref="A23:C23"/>
    <mergeCell ref="A24:C24"/>
    <mergeCell ref="A25:C25"/>
    <mergeCell ref="A26:C2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BF06-1C51-4382-9F1B-D14AAE52193A}">
  <dimension ref="A1:T34"/>
  <sheetViews>
    <sheetView workbookViewId="0">
      <pane ySplit="2" topLeftCell="A3" activePane="bottomLeft" state="frozen"/>
      <selection pane="bottomLeft" activeCell="Q13" sqref="Q13"/>
    </sheetView>
  </sheetViews>
  <sheetFormatPr defaultRowHeight="15" x14ac:dyDescent="0.25"/>
  <cols>
    <col min="1" max="1" width="24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5.28515625" bestFit="1" customWidth="1"/>
    <col min="17" max="17" width="18.42578125" bestFit="1" customWidth="1"/>
    <col min="18" max="18" width="14" bestFit="1" customWidth="1"/>
    <col min="19" max="19" width="16.28515625" bestFit="1" customWidth="1"/>
    <col min="20" max="20" width="17" bestFit="1" customWidth="1"/>
  </cols>
  <sheetData>
    <row r="1" spans="1:20" x14ac:dyDescent="0.25">
      <c r="A1" s="75" t="s">
        <v>663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664</v>
      </c>
      <c r="B3" s="6" t="s">
        <v>18</v>
      </c>
      <c r="C3" s="6">
        <v>31</v>
      </c>
      <c r="D3" s="7">
        <v>55224526</v>
      </c>
      <c r="E3" s="38">
        <v>0.35699999999999998</v>
      </c>
      <c r="F3" s="7">
        <v>58100000</v>
      </c>
      <c r="G3" s="38">
        <v>0.35</v>
      </c>
      <c r="H3" s="7">
        <v>62748000</v>
      </c>
      <c r="I3" s="38">
        <v>0.36</v>
      </c>
      <c r="J3" s="14">
        <v>67396000</v>
      </c>
      <c r="K3" s="39">
        <v>0.36799999999999999</v>
      </c>
      <c r="L3" s="10" t="s">
        <v>665</v>
      </c>
      <c r="M3" s="40">
        <v>0.36799999999999999</v>
      </c>
      <c r="O3" s="31" t="s">
        <v>484</v>
      </c>
    </row>
    <row r="4" spans="1:20" x14ac:dyDescent="0.25">
      <c r="A4" s="9" t="s">
        <v>666</v>
      </c>
      <c r="B4" s="6" t="s">
        <v>11</v>
      </c>
      <c r="C4" s="6">
        <v>35</v>
      </c>
      <c r="D4" s="7">
        <v>51666090</v>
      </c>
      <c r="E4" s="38">
        <v>0.33400000000000002</v>
      </c>
      <c r="F4" s="7">
        <v>54126380</v>
      </c>
      <c r="G4" s="38">
        <v>0.32600000000000001</v>
      </c>
      <c r="H4" s="14">
        <v>56586670</v>
      </c>
      <c r="I4" s="39">
        <v>0.32500000000000001</v>
      </c>
      <c r="J4" s="10" t="s">
        <v>667</v>
      </c>
      <c r="K4" s="40">
        <v>0.34899999999999998</v>
      </c>
      <c r="L4" s="6"/>
      <c r="M4" s="6"/>
      <c r="O4" s="32" t="s">
        <v>485</v>
      </c>
    </row>
    <row r="5" spans="1:20" x14ac:dyDescent="0.25">
      <c r="A5" s="9" t="s">
        <v>668</v>
      </c>
      <c r="B5" s="6" t="s">
        <v>25</v>
      </c>
      <c r="C5" s="6">
        <v>25</v>
      </c>
      <c r="D5" s="7">
        <v>37958760</v>
      </c>
      <c r="E5" s="38">
        <v>0.245</v>
      </c>
      <c r="F5" s="7">
        <v>40770520</v>
      </c>
      <c r="G5" s="38">
        <v>0.246</v>
      </c>
      <c r="H5" s="7">
        <v>43582280</v>
      </c>
      <c r="I5" s="38">
        <v>0.25</v>
      </c>
      <c r="J5" s="7">
        <v>46394040</v>
      </c>
      <c r="K5" s="38">
        <v>0.253</v>
      </c>
      <c r="L5" s="10" t="s">
        <v>98</v>
      </c>
      <c r="M5" s="40">
        <v>0.35199999999999998</v>
      </c>
      <c r="O5" s="33" t="s">
        <v>486</v>
      </c>
    </row>
    <row r="6" spans="1:20" x14ac:dyDescent="0.25">
      <c r="A6" s="9" t="s">
        <v>669</v>
      </c>
      <c r="B6" s="6" t="s">
        <v>11</v>
      </c>
      <c r="C6" s="6">
        <v>20</v>
      </c>
      <c r="D6" s="7">
        <v>11108880</v>
      </c>
      <c r="E6" s="38">
        <v>7.1999999999999995E-2</v>
      </c>
      <c r="F6" s="7">
        <v>11663880</v>
      </c>
      <c r="G6" s="38">
        <v>7.0000000000000007E-2</v>
      </c>
      <c r="H6" s="13">
        <v>12219840</v>
      </c>
      <c r="I6" s="41">
        <v>7.0000000000000007E-2</v>
      </c>
      <c r="J6" s="13">
        <v>15445878</v>
      </c>
      <c r="K6" s="41">
        <v>8.4000000000000005E-2</v>
      </c>
      <c r="L6" s="12" t="s">
        <v>670</v>
      </c>
      <c r="M6" s="42">
        <v>0.24099999999999999</v>
      </c>
      <c r="O6" s="34" t="s">
        <v>487</v>
      </c>
    </row>
    <row r="7" spans="1:20" x14ac:dyDescent="0.25">
      <c r="A7" s="9" t="s">
        <v>671</v>
      </c>
      <c r="B7" s="6" t="s">
        <v>11</v>
      </c>
      <c r="C7" s="6">
        <v>25</v>
      </c>
      <c r="D7" s="7">
        <v>8741209</v>
      </c>
      <c r="E7" s="38">
        <v>5.7000000000000002E-2</v>
      </c>
      <c r="F7" s="10" t="s">
        <v>672</v>
      </c>
      <c r="G7" s="40">
        <v>0.1</v>
      </c>
      <c r="H7" s="6"/>
      <c r="I7" s="6"/>
      <c r="J7" s="6"/>
      <c r="K7" s="6"/>
      <c r="L7" s="6"/>
      <c r="M7" s="6"/>
    </row>
    <row r="8" spans="1:20" x14ac:dyDescent="0.25">
      <c r="A8" s="9" t="s">
        <v>673</v>
      </c>
      <c r="B8" s="6" t="s">
        <v>14</v>
      </c>
      <c r="C8" s="6">
        <v>30</v>
      </c>
      <c r="D8" s="7">
        <v>8382150</v>
      </c>
      <c r="E8" s="38">
        <v>5.3999999999999999E-2</v>
      </c>
      <c r="F8" s="10" t="s">
        <v>622</v>
      </c>
      <c r="G8" s="40">
        <v>9.6000000000000002E-2</v>
      </c>
      <c r="H8" s="6"/>
      <c r="I8" s="6"/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674</v>
      </c>
      <c r="B9" s="6" t="s">
        <v>18</v>
      </c>
      <c r="C9" s="6">
        <v>32</v>
      </c>
      <c r="D9" s="7">
        <v>5000000</v>
      </c>
      <c r="E9" s="38">
        <v>3.2000000000000001E-2</v>
      </c>
      <c r="F9" s="10" t="s">
        <v>675</v>
      </c>
      <c r="G9" s="40">
        <v>3.9E-2</v>
      </c>
      <c r="H9" s="6"/>
      <c r="I9" s="6"/>
      <c r="J9" s="6"/>
      <c r="K9" s="6"/>
      <c r="L9" s="6"/>
      <c r="M9" s="6"/>
      <c r="O9" t="s">
        <v>488</v>
      </c>
      <c r="P9" s="9" t="s">
        <v>668</v>
      </c>
      <c r="Q9" s="9" t="s">
        <v>669</v>
      </c>
      <c r="R9" s="9" t="s">
        <v>673</v>
      </c>
      <c r="S9" s="9" t="s">
        <v>666</v>
      </c>
      <c r="T9" s="9" t="s">
        <v>664</v>
      </c>
    </row>
    <row r="10" spans="1:20" x14ac:dyDescent="0.25">
      <c r="A10" s="9" t="s">
        <v>676</v>
      </c>
      <c r="B10" s="6" t="s">
        <v>10</v>
      </c>
      <c r="C10" s="6">
        <v>22</v>
      </c>
      <c r="D10" s="7">
        <v>3415000</v>
      </c>
      <c r="E10" s="38">
        <v>2.1999999999999999E-2</v>
      </c>
      <c r="F10" s="13">
        <v>3415000</v>
      </c>
      <c r="G10" s="41">
        <v>2.1000000000000001E-2</v>
      </c>
      <c r="H10" s="10" t="s">
        <v>677</v>
      </c>
      <c r="I10" s="40">
        <v>2.5000000000000001E-2</v>
      </c>
      <c r="J10" s="6"/>
      <c r="K10" s="6"/>
      <c r="L10" s="6"/>
      <c r="M10" s="6"/>
      <c r="O10" t="s">
        <v>489</v>
      </c>
      <c r="P10" s="9" t="s">
        <v>684</v>
      </c>
      <c r="Q10" s="9" t="s">
        <v>671</v>
      </c>
      <c r="R10" s="9" t="s">
        <v>683</v>
      </c>
      <c r="S10" s="9" t="s">
        <v>676</v>
      </c>
      <c r="T10" s="9" t="s">
        <v>674</v>
      </c>
    </row>
    <row r="11" spans="1:20" x14ac:dyDescent="0.25">
      <c r="A11" s="9" t="s">
        <v>678</v>
      </c>
      <c r="B11" s="6" t="s">
        <v>10</v>
      </c>
      <c r="C11" s="6">
        <v>25</v>
      </c>
      <c r="D11" s="7">
        <v>2461463</v>
      </c>
      <c r="E11" s="38">
        <v>1.6E-2</v>
      </c>
      <c r="F11" s="13">
        <v>2801346</v>
      </c>
      <c r="G11" s="41">
        <v>1.7000000000000001E-2</v>
      </c>
      <c r="H11" s="10" t="s">
        <v>375</v>
      </c>
      <c r="I11" s="40">
        <v>1.6E-2</v>
      </c>
      <c r="J11" s="6"/>
      <c r="K11" s="6"/>
      <c r="L11" s="6"/>
      <c r="M11" s="6"/>
      <c r="O11" t="s">
        <v>490</v>
      </c>
      <c r="P11" s="9" t="s">
        <v>679</v>
      </c>
      <c r="Q11" s="9" t="s">
        <v>680</v>
      </c>
      <c r="R11" s="9" t="s">
        <v>687</v>
      </c>
      <c r="S11" s="9" t="s">
        <v>678</v>
      </c>
      <c r="T11" s="9" t="s">
        <v>681</v>
      </c>
    </row>
    <row r="12" spans="1:20" x14ac:dyDescent="0.25">
      <c r="A12" s="9" t="s">
        <v>679</v>
      </c>
      <c r="B12" s="6" t="s">
        <v>25</v>
      </c>
      <c r="C12" s="6">
        <v>39</v>
      </c>
      <c r="D12" s="7">
        <v>2296274</v>
      </c>
      <c r="E12" s="38">
        <v>1.4999999999999999E-2</v>
      </c>
      <c r="F12" s="10" t="s">
        <v>57</v>
      </c>
      <c r="G12" s="40">
        <v>1.4999999999999999E-2</v>
      </c>
      <c r="H12" s="6"/>
      <c r="I12" s="6"/>
      <c r="J12" s="6"/>
      <c r="K12" s="6"/>
      <c r="L12" s="6"/>
      <c r="M12" s="6"/>
      <c r="Q12" s="9" t="s">
        <v>686</v>
      </c>
      <c r="T12" s="9" t="s">
        <v>682</v>
      </c>
    </row>
    <row r="13" spans="1:20" x14ac:dyDescent="0.25">
      <c r="A13" s="9" t="s">
        <v>680</v>
      </c>
      <c r="B13" s="6" t="s">
        <v>11</v>
      </c>
      <c r="C13" s="6">
        <v>22</v>
      </c>
      <c r="D13" s="7">
        <v>2048494</v>
      </c>
      <c r="E13" s="38">
        <v>1.2999999999999999E-2</v>
      </c>
      <c r="F13" s="7">
        <v>2411090</v>
      </c>
      <c r="G13" s="38">
        <v>1.4999999999999999E-2</v>
      </c>
      <c r="H13" s="13">
        <v>2616754</v>
      </c>
      <c r="I13" s="41">
        <v>1.4999999999999999E-2</v>
      </c>
      <c r="J13" s="10" t="s">
        <v>61</v>
      </c>
      <c r="K13" s="40">
        <v>1.6E-2</v>
      </c>
      <c r="L13" s="6"/>
      <c r="M13" s="6"/>
      <c r="Q13" s="9" t="s">
        <v>688</v>
      </c>
    </row>
    <row r="14" spans="1:20" x14ac:dyDescent="0.25">
      <c r="A14" s="9" t="s">
        <v>681</v>
      </c>
      <c r="B14" s="6" t="s">
        <v>18</v>
      </c>
      <c r="C14" s="6">
        <v>22</v>
      </c>
      <c r="D14" s="7">
        <v>1955377</v>
      </c>
      <c r="E14" s="38">
        <v>1.2999999999999999E-2</v>
      </c>
      <c r="F14" s="7">
        <v>2296271</v>
      </c>
      <c r="G14" s="38">
        <v>1.4E-2</v>
      </c>
      <c r="H14" s="13">
        <v>2486995</v>
      </c>
      <c r="I14" s="41">
        <v>1.4E-2</v>
      </c>
      <c r="J14" s="10" t="s">
        <v>120</v>
      </c>
      <c r="K14" s="40">
        <v>1.7000000000000001E-2</v>
      </c>
      <c r="L14" s="6"/>
      <c r="M14" s="6"/>
    </row>
    <row r="15" spans="1:20" x14ac:dyDescent="0.25">
      <c r="A15" s="9" t="s">
        <v>682</v>
      </c>
      <c r="B15" s="6" t="s">
        <v>18</v>
      </c>
      <c r="C15" s="6">
        <v>23</v>
      </c>
      <c r="D15" s="7">
        <v>1272870</v>
      </c>
      <c r="E15" s="38">
        <v>8.0000000000000002E-3</v>
      </c>
      <c r="F15" s="7">
        <v>2150917</v>
      </c>
      <c r="G15" s="38">
        <v>1.2999999999999999E-2</v>
      </c>
      <c r="H15" s="7">
        <v>2525901</v>
      </c>
      <c r="I15" s="38">
        <v>1.4E-2</v>
      </c>
      <c r="J15" s="13">
        <v>2735698</v>
      </c>
      <c r="K15" s="41">
        <v>1.4999999999999999E-2</v>
      </c>
      <c r="L15" s="10" t="s">
        <v>32</v>
      </c>
      <c r="M15" s="40">
        <v>1.6E-2</v>
      </c>
    </row>
    <row r="16" spans="1:20" x14ac:dyDescent="0.25">
      <c r="A16" s="9" t="s">
        <v>683</v>
      </c>
      <c r="B16" s="6" t="s">
        <v>14</v>
      </c>
      <c r="C16" s="6">
        <v>23</v>
      </c>
      <c r="D16" s="7">
        <v>724598</v>
      </c>
      <c r="E16" s="38">
        <v>5.0000000000000001E-3</v>
      </c>
      <c r="F16" s="10" t="s">
        <v>58</v>
      </c>
      <c r="G16" s="40">
        <v>1.6E-2</v>
      </c>
      <c r="H16" s="6"/>
      <c r="I16" s="38"/>
      <c r="J16" s="6"/>
      <c r="K16" s="6"/>
      <c r="L16" s="6"/>
      <c r="M16" s="6"/>
    </row>
    <row r="17" spans="1:13" x14ac:dyDescent="0.25">
      <c r="A17" s="9" t="s">
        <v>684</v>
      </c>
      <c r="B17" s="6" t="s">
        <v>25</v>
      </c>
      <c r="C17" s="6">
        <v>31</v>
      </c>
      <c r="D17" s="7">
        <v>712637</v>
      </c>
      <c r="E17" s="38">
        <v>5.0000000000000001E-3</v>
      </c>
      <c r="F17" s="12" t="s">
        <v>685</v>
      </c>
      <c r="G17" s="42">
        <v>1.4999999999999999E-2</v>
      </c>
      <c r="H17" s="6"/>
      <c r="I17" s="6"/>
      <c r="J17" s="6"/>
      <c r="K17" s="6"/>
      <c r="L17" s="6"/>
      <c r="M17" s="6"/>
    </row>
    <row r="18" spans="1:13" x14ac:dyDescent="0.25">
      <c r="A18" s="9" t="s">
        <v>686</v>
      </c>
      <c r="B18" s="6" t="s">
        <v>11</v>
      </c>
      <c r="C18" s="6">
        <v>23</v>
      </c>
      <c r="D18" s="6" t="s">
        <v>63</v>
      </c>
      <c r="E18" s="6"/>
      <c r="F18" s="1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687</v>
      </c>
      <c r="B19" s="6" t="s">
        <v>14</v>
      </c>
      <c r="C19" s="6">
        <v>26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688</v>
      </c>
      <c r="B20" s="6" t="s">
        <v>11</v>
      </c>
      <c r="C20" s="6">
        <v>25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192968328</v>
      </c>
      <c r="E23" s="29"/>
      <c r="F23" s="16">
        <f>SUM(F3:F6,F13:F15)</f>
        <v>171519058</v>
      </c>
      <c r="G23" s="17"/>
      <c r="H23" s="16">
        <f>SUM(H3,H5,H15)</f>
        <v>108856181</v>
      </c>
      <c r="I23" s="17"/>
      <c r="J23" s="16">
        <f>SUM(J5)</f>
        <v>46394040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192968328</v>
      </c>
      <c r="E24" s="17"/>
      <c r="F24" s="16">
        <f>F23+E31*8</f>
        <v>182729226</v>
      </c>
      <c r="G24" s="17"/>
      <c r="H24" s="16">
        <f>H23+E32*12</f>
        <v>127352958.2</v>
      </c>
      <c r="I24" s="17"/>
      <c r="J24" s="16">
        <f>J23+E33*14</f>
        <v>70131570.74000001</v>
      </c>
      <c r="K24" s="16"/>
      <c r="L24" s="16">
        <f>L23+E34*13</f>
        <v>24246192.113000005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192968328</v>
      </c>
      <c r="E25" s="17"/>
      <c r="F25" s="16">
        <f>F23+F10+F11</f>
        <v>177735404</v>
      </c>
      <c r="G25" s="17"/>
      <c r="H25" s="16">
        <f>H23+H4+H6+H13+H14</f>
        <v>182766440</v>
      </c>
      <c r="I25" s="17"/>
      <c r="J25" s="16">
        <f>J23+J3+J6+J15</f>
        <v>131971616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-38321328</v>
      </c>
      <c r="E28" s="16"/>
      <c r="F28" s="16">
        <f>F26-F24</f>
        <v>-17729226</v>
      </c>
      <c r="G28" s="16"/>
      <c r="H28" s="16">
        <f>H26-H24</f>
        <v>45897041.799999997</v>
      </c>
      <c r="I28" s="16"/>
      <c r="J28" s="16">
        <f>J26-J24</f>
        <v>111781429.25999999</v>
      </c>
      <c r="K28" s="16"/>
      <c r="L28" s="16">
        <f>L26-L24</f>
        <v>166762807.88699999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-5073328</v>
      </c>
      <c r="E29" s="16"/>
      <c r="F29" s="16">
        <f>F27-F24</f>
        <v>17270774</v>
      </c>
      <c r="G29" s="16"/>
      <c r="H29" s="16">
        <f>H27-H24</f>
        <v>83146041.799999997</v>
      </c>
      <c r="I29" s="16"/>
      <c r="J29" s="16">
        <f>J27-J24</f>
        <v>150892429.25999999</v>
      </c>
      <c r="K29" s="16"/>
      <c r="L29" s="16">
        <f>L27-L24</f>
        <v>207829807.88699999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3E74-B51E-4E54-ABDE-8786BE12559A}">
  <dimension ref="A1:T34"/>
  <sheetViews>
    <sheetView workbookViewId="0">
      <pane ySplit="2" topLeftCell="A3" activePane="bottomLeft" state="frozen"/>
      <selection pane="bottomLeft" activeCell="Q12" sqref="Q12"/>
    </sheetView>
  </sheetViews>
  <sheetFormatPr defaultRowHeight="15" x14ac:dyDescent="0.25"/>
  <cols>
    <col min="1" max="1" width="22.140625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11.28515625" bestFit="1" customWidth="1"/>
    <col min="8" max="8" width="13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5.5703125" bestFit="1" customWidth="1"/>
    <col min="17" max="17" width="13.5703125" bestFit="1" customWidth="1"/>
    <col min="18" max="18" width="13.140625" bestFit="1" customWidth="1"/>
    <col min="19" max="19" width="19.28515625" bestFit="1" customWidth="1"/>
    <col min="20" max="20" width="16.140625" bestFit="1" customWidth="1"/>
  </cols>
  <sheetData>
    <row r="1" spans="1:20" x14ac:dyDescent="0.25">
      <c r="A1" s="75" t="s">
        <v>712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689</v>
      </c>
      <c r="B3" s="6" t="s">
        <v>11</v>
      </c>
      <c r="C3" s="6">
        <v>29</v>
      </c>
      <c r="D3" s="7">
        <v>53142264</v>
      </c>
      <c r="E3" s="38">
        <v>0.34399999999999997</v>
      </c>
      <c r="F3" s="7">
        <v>57078728</v>
      </c>
      <c r="G3" s="38">
        <v>0.34399999999999997</v>
      </c>
      <c r="H3" s="7">
        <v>61015192</v>
      </c>
      <c r="I3" s="38">
        <v>0.35</v>
      </c>
      <c r="J3" s="7">
        <v>64065951</v>
      </c>
      <c r="K3" s="38">
        <v>0.35</v>
      </c>
      <c r="L3" s="14">
        <v>69191227</v>
      </c>
      <c r="M3" s="39">
        <v>0.36</v>
      </c>
      <c r="O3" s="31" t="s">
        <v>484</v>
      </c>
    </row>
    <row r="4" spans="1:20" x14ac:dyDescent="0.25">
      <c r="A4" s="9" t="s">
        <v>690</v>
      </c>
      <c r="B4" s="6" t="s">
        <v>11</v>
      </c>
      <c r="C4" s="6">
        <v>23</v>
      </c>
      <c r="D4" s="7">
        <v>33584499</v>
      </c>
      <c r="E4" s="38">
        <v>0.217</v>
      </c>
      <c r="F4" s="7">
        <v>36251166</v>
      </c>
      <c r="G4" s="38">
        <v>0.218</v>
      </c>
      <c r="H4" s="14">
        <v>36000000</v>
      </c>
      <c r="I4" s="39">
        <v>0.20699999999999999</v>
      </c>
      <c r="J4" s="10" t="s">
        <v>691</v>
      </c>
      <c r="K4" s="40">
        <v>0.29499999999999998</v>
      </c>
      <c r="L4" s="6"/>
      <c r="M4" s="6"/>
      <c r="O4" s="32" t="s">
        <v>485</v>
      </c>
    </row>
    <row r="5" spans="1:20" x14ac:dyDescent="0.25">
      <c r="A5" s="9" t="s">
        <v>692</v>
      </c>
      <c r="B5" s="6" t="s">
        <v>14</v>
      </c>
      <c r="C5" s="6">
        <v>30</v>
      </c>
      <c r="D5" s="7">
        <v>21124110</v>
      </c>
      <c r="E5" s="38">
        <v>0.13700000000000001</v>
      </c>
      <c r="F5" s="7">
        <v>19992727</v>
      </c>
      <c r="G5" s="38">
        <v>0.12</v>
      </c>
      <c r="H5" s="10" t="s">
        <v>273</v>
      </c>
      <c r="I5" s="40">
        <v>0.18099999999999999</v>
      </c>
      <c r="J5" s="6"/>
      <c r="K5" s="6"/>
      <c r="L5" s="6"/>
      <c r="M5" s="6"/>
      <c r="O5" s="33" t="s">
        <v>486</v>
      </c>
    </row>
    <row r="6" spans="1:20" x14ac:dyDescent="0.25">
      <c r="A6" s="9" t="s">
        <v>693</v>
      </c>
      <c r="B6" s="6" t="s">
        <v>11</v>
      </c>
      <c r="C6" s="6">
        <v>30</v>
      </c>
      <c r="D6" s="7">
        <v>16875000</v>
      </c>
      <c r="E6" s="38">
        <v>0.109</v>
      </c>
      <c r="F6" s="7">
        <v>18125000</v>
      </c>
      <c r="G6" s="38">
        <v>0.109</v>
      </c>
      <c r="H6" s="14">
        <v>19375000</v>
      </c>
      <c r="I6" s="39">
        <v>0.111</v>
      </c>
      <c r="J6" s="10" t="s">
        <v>694</v>
      </c>
      <c r="K6" s="40">
        <v>0.159</v>
      </c>
      <c r="L6" s="6"/>
      <c r="M6" s="6"/>
      <c r="O6" s="34" t="s">
        <v>487</v>
      </c>
    </row>
    <row r="7" spans="1:20" x14ac:dyDescent="0.25">
      <c r="A7" s="9" t="s">
        <v>695</v>
      </c>
      <c r="B7" s="6" t="s">
        <v>14</v>
      </c>
      <c r="C7" s="6">
        <v>32</v>
      </c>
      <c r="D7" s="7">
        <v>10125000</v>
      </c>
      <c r="E7" s="38">
        <v>6.5000000000000002E-2</v>
      </c>
      <c r="F7" s="7">
        <v>10875000</v>
      </c>
      <c r="G7" s="38">
        <v>6.6000000000000003E-2</v>
      </c>
      <c r="H7" s="7">
        <v>11625000</v>
      </c>
      <c r="I7" s="38">
        <v>6.7000000000000004E-2</v>
      </c>
      <c r="J7" s="10" t="s">
        <v>696</v>
      </c>
      <c r="K7" s="40">
        <v>0.126</v>
      </c>
      <c r="L7" s="6"/>
      <c r="M7" s="6"/>
    </row>
    <row r="8" spans="1:20" x14ac:dyDescent="0.25">
      <c r="A8" s="9" t="s">
        <v>697</v>
      </c>
      <c r="B8" s="6" t="s">
        <v>18</v>
      </c>
      <c r="C8" s="6">
        <v>24</v>
      </c>
      <c r="D8" s="7">
        <v>6276531</v>
      </c>
      <c r="E8" s="38">
        <v>4.1000000000000002E-2</v>
      </c>
      <c r="F8" s="12" t="s">
        <v>698</v>
      </c>
      <c r="G8" s="42">
        <v>0.113</v>
      </c>
      <c r="H8" s="6"/>
      <c r="I8" s="6"/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699</v>
      </c>
      <c r="B9" s="6" t="s">
        <v>18</v>
      </c>
      <c r="C9" s="6">
        <v>19</v>
      </c>
      <c r="D9" s="7">
        <v>6016080</v>
      </c>
      <c r="E9" s="38">
        <v>3.9E-2</v>
      </c>
      <c r="F9" s="7">
        <v>6316680</v>
      </c>
      <c r="G9" s="38">
        <v>3.7999999999999999E-2</v>
      </c>
      <c r="H9" s="13">
        <v>6617160</v>
      </c>
      <c r="I9" s="41">
        <v>3.7999999999999999E-2</v>
      </c>
      <c r="J9" s="13">
        <v>8436880</v>
      </c>
      <c r="K9" s="41">
        <v>4.5999999999999999E-2</v>
      </c>
      <c r="L9" s="12" t="s">
        <v>700</v>
      </c>
      <c r="M9" s="42">
        <v>0.123</v>
      </c>
      <c r="O9" t="s">
        <v>488</v>
      </c>
      <c r="P9" s="9" t="s">
        <v>689</v>
      </c>
      <c r="Q9" s="9" t="s">
        <v>690</v>
      </c>
      <c r="R9" s="9" t="s">
        <v>692</v>
      </c>
      <c r="S9" s="9" t="s">
        <v>695</v>
      </c>
      <c r="T9" s="9" t="s">
        <v>697</v>
      </c>
    </row>
    <row r="10" spans="1:20" x14ac:dyDescent="0.25">
      <c r="A10" s="9" t="s">
        <v>701</v>
      </c>
      <c r="B10" s="6" t="s">
        <v>14</v>
      </c>
      <c r="C10" s="6">
        <v>23</v>
      </c>
      <c r="D10" s="7">
        <v>2657760</v>
      </c>
      <c r="E10" s="38">
        <v>1.7000000000000001E-2</v>
      </c>
      <c r="F10" s="7">
        <v>2784240</v>
      </c>
      <c r="G10" s="38">
        <v>1.7000000000000001E-2</v>
      </c>
      <c r="H10" s="13">
        <v>5025553</v>
      </c>
      <c r="I10" s="41">
        <v>2.9000000000000001E-2</v>
      </c>
      <c r="J10" s="12" t="s">
        <v>284</v>
      </c>
      <c r="K10" s="42">
        <v>8.2000000000000003E-2</v>
      </c>
      <c r="L10" s="6"/>
      <c r="M10" s="6"/>
      <c r="O10" t="s">
        <v>489</v>
      </c>
      <c r="P10" s="9" t="s">
        <v>703</v>
      </c>
      <c r="Q10" s="9" t="s">
        <v>693</v>
      </c>
      <c r="R10" s="9" t="s">
        <v>701</v>
      </c>
      <c r="S10" s="9" t="s">
        <v>706</v>
      </c>
      <c r="T10" s="9" t="s">
        <v>705</v>
      </c>
    </row>
    <row r="11" spans="1:20" x14ac:dyDescent="0.25">
      <c r="A11" s="9" t="s">
        <v>702</v>
      </c>
      <c r="B11" s="6" t="s">
        <v>25</v>
      </c>
      <c r="C11" s="6">
        <v>27</v>
      </c>
      <c r="D11" s="7">
        <v>2349578</v>
      </c>
      <c r="E11" s="38">
        <v>1.4999999999999999E-2</v>
      </c>
      <c r="F11" s="10" t="s">
        <v>57</v>
      </c>
      <c r="G11" s="40">
        <v>1.4999999999999999E-2</v>
      </c>
      <c r="H11" s="6"/>
      <c r="I11" s="6"/>
      <c r="J11" s="6"/>
      <c r="K11" s="6"/>
      <c r="L11" s="6"/>
      <c r="M11" s="6"/>
      <c r="O11" t="s">
        <v>490</v>
      </c>
      <c r="P11" s="9" t="s">
        <v>702</v>
      </c>
      <c r="Q11" s="9" t="s">
        <v>704</v>
      </c>
      <c r="R11" s="9" t="s">
        <v>709</v>
      </c>
      <c r="S11" s="9" t="s">
        <v>707</v>
      </c>
      <c r="T11" s="9" t="s">
        <v>699</v>
      </c>
    </row>
    <row r="12" spans="1:20" x14ac:dyDescent="0.25">
      <c r="A12" s="9" t="s">
        <v>703</v>
      </c>
      <c r="B12" s="6" t="s">
        <v>25</v>
      </c>
      <c r="C12" s="6">
        <v>26</v>
      </c>
      <c r="D12" s="7">
        <v>2296274</v>
      </c>
      <c r="E12" s="38">
        <v>1.4999999999999999E-2</v>
      </c>
      <c r="F12" s="10" t="s">
        <v>57</v>
      </c>
      <c r="G12" s="40">
        <v>1.4999999999999999E-2</v>
      </c>
      <c r="H12" s="6"/>
      <c r="I12" s="6"/>
      <c r="J12" s="6"/>
      <c r="K12" s="6"/>
      <c r="L12" s="6"/>
      <c r="M12" s="6"/>
      <c r="P12" s="9" t="s">
        <v>708</v>
      </c>
      <c r="Q12" s="9" t="s">
        <v>711</v>
      </c>
      <c r="S12" s="9" t="s">
        <v>710</v>
      </c>
    </row>
    <row r="13" spans="1:20" x14ac:dyDescent="0.25">
      <c r="A13" s="9" t="s">
        <v>704</v>
      </c>
      <c r="B13" s="6" t="s">
        <v>11</v>
      </c>
      <c r="C13" s="6">
        <v>28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</row>
    <row r="14" spans="1:20" x14ac:dyDescent="0.25">
      <c r="A14" s="9" t="s">
        <v>705</v>
      </c>
      <c r="B14" s="6" t="s">
        <v>18</v>
      </c>
      <c r="C14" s="6">
        <v>23</v>
      </c>
      <c r="D14" s="7">
        <v>1955377</v>
      </c>
      <c r="E14" s="38">
        <v>1.2999999999999999E-2</v>
      </c>
      <c r="F14" s="7">
        <v>2296271</v>
      </c>
      <c r="G14" s="38">
        <v>1.4E-2</v>
      </c>
      <c r="H14" s="13">
        <v>2486995</v>
      </c>
      <c r="I14" s="41">
        <v>1.4E-2</v>
      </c>
      <c r="J14" s="10" t="s">
        <v>120</v>
      </c>
      <c r="K14" s="40">
        <v>1.7000000000000001E-2</v>
      </c>
      <c r="L14" s="6"/>
      <c r="M14" s="6"/>
    </row>
    <row r="15" spans="1:20" x14ac:dyDescent="0.25">
      <c r="A15" s="9" t="s">
        <v>706</v>
      </c>
      <c r="B15" s="6" t="s">
        <v>10</v>
      </c>
      <c r="C15" s="6">
        <v>21</v>
      </c>
      <c r="D15" s="7">
        <v>1272870</v>
      </c>
      <c r="E15" s="38">
        <v>8.0000000000000002E-3</v>
      </c>
      <c r="F15" s="7">
        <v>2150917</v>
      </c>
      <c r="G15" s="38">
        <v>1.2999999999999999E-2</v>
      </c>
      <c r="H15" s="7">
        <v>2525901</v>
      </c>
      <c r="I15" s="38">
        <v>1.4E-2</v>
      </c>
      <c r="J15" s="13">
        <v>2735698</v>
      </c>
      <c r="K15" s="41">
        <v>1.4999999999999999E-2</v>
      </c>
      <c r="L15" s="10" t="s">
        <v>32</v>
      </c>
      <c r="M15" s="40">
        <v>1.6E-2</v>
      </c>
    </row>
    <row r="16" spans="1:20" x14ac:dyDescent="0.25">
      <c r="A16" s="9" t="s">
        <v>707</v>
      </c>
      <c r="B16" s="6" t="s">
        <v>82</v>
      </c>
      <c r="C16" s="6">
        <v>29</v>
      </c>
      <c r="D16" s="7">
        <v>827984</v>
      </c>
      <c r="E16" s="38">
        <v>5.0000000000000001E-3</v>
      </c>
      <c r="F16" s="10" t="s">
        <v>32</v>
      </c>
      <c r="G16" s="40">
        <v>1.7999999999999999E-2</v>
      </c>
      <c r="H16" s="6"/>
      <c r="I16" s="38"/>
      <c r="J16" s="6"/>
      <c r="K16" s="6"/>
      <c r="L16" s="6"/>
      <c r="M16" s="6"/>
    </row>
    <row r="17" spans="1:13" x14ac:dyDescent="0.25">
      <c r="A17" s="9" t="s">
        <v>708</v>
      </c>
      <c r="B17" s="6" t="s">
        <v>25</v>
      </c>
      <c r="C17" s="6">
        <v>26</v>
      </c>
      <c r="D17" s="7">
        <v>574210</v>
      </c>
      <c r="E17" s="38">
        <v>4.0000000000000001E-3</v>
      </c>
      <c r="F17" s="13">
        <v>2584539</v>
      </c>
      <c r="G17" s="41">
        <v>1.6E-2</v>
      </c>
      <c r="H17" s="10" t="s">
        <v>58</v>
      </c>
      <c r="I17" s="40">
        <v>1.4999999999999999E-2</v>
      </c>
      <c r="J17" s="6"/>
      <c r="K17" s="6"/>
      <c r="L17" s="6"/>
      <c r="M17" s="6"/>
    </row>
    <row r="18" spans="1:13" x14ac:dyDescent="0.25">
      <c r="A18" s="9" t="s">
        <v>709</v>
      </c>
      <c r="B18" s="6" t="s">
        <v>14</v>
      </c>
      <c r="C18" s="6">
        <v>27</v>
      </c>
      <c r="D18" s="6" t="s">
        <v>63</v>
      </c>
      <c r="E18" s="6"/>
      <c r="F18" s="12" t="s">
        <v>64</v>
      </c>
      <c r="G18" s="42">
        <v>1.2999999999999999E-2</v>
      </c>
      <c r="I18" s="6"/>
      <c r="J18" s="6"/>
      <c r="K18" s="6"/>
      <c r="L18" s="6"/>
      <c r="M18" s="6"/>
    </row>
    <row r="19" spans="1:13" x14ac:dyDescent="0.25">
      <c r="A19" s="9" t="s">
        <v>710</v>
      </c>
      <c r="B19" s="6" t="s">
        <v>82</v>
      </c>
      <c r="C19" s="6">
        <v>24</v>
      </c>
      <c r="D19" s="6" t="s">
        <v>63</v>
      </c>
      <c r="E19" s="6"/>
      <c r="F19" s="6" t="s">
        <v>63</v>
      </c>
      <c r="G19" s="6"/>
      <c r="H19" s="12" t="s">
        <v>64</v>
      </c>
      <c r="I19" s="42">
        <v>1.2999999999999999E-2</v>
      </c>
      <c r="J19" s="6"/>
      <c r="K19" s="6"/>
      <c r="L19" s="6"/>
      <c r="M19" s="6"/>
    </row>
    <row r="20" spans="1:13" x14ac:dyDescent="0.25">
      <c r="A20" s="9" t="s">
        <v>711</v>
      </c>
      <c r="B20" s="6" t="s">
        <v>29</v>
      </c>
      <c r="C20" s="6">
        <v>23</v>
      </c>
      <c r="D20" s="6" t="s">
        <v>63</v>
      </c>
      <c r="E20" s="6"/>
      <c r="F20" s="12" t="s">
        <v>64</v>
      </c>
      <c r="G20" s="42">
        <v>1.2999999999999999E-2</v>
      </c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161373811</v>
      </c>
      <c r="E23" s="29"/>
      <c r="F23" s="16">
        <f>SUM(F3:F7,F9:F10,F14:F15)</f>
        <v>155870729</v>
      </c>
      <c r="G23" s="17"/>
      <c r="H23" s="16">
        <f>SUM(H3,H7,H15)</f>
        <v>75166093</v>
      </c>
      <c r="I23" s="17"/>
      <c r="J23" s="16">
        <f>SUM(J3)</f>
        <v>64065951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161373811</v>
      </c>
      <c r="E24" s="17"/>
      <c r="F24" s="16">
        <f>F23+E31*6</f>
        <v>164278355</v>
      </c>
      <c r="G24" s="17"/>
      <c r="H24" s="16">
        <f>H23+E32*12</f>
        <v>93662870.200000003</v>
      </c>
      <c r="I24" s="17"/>
      <c r="J24" s="16">
        <f>J23+E33*14</f>
        <v>87803481.74000001</v>
      </c>
      <c r="K24" s="16"/>
      <c r="L24" s="16">
        <f>L23+E34*13</f>
        <v>24246192.113000005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161373811</v>
      </c>
      <c r="E25" s="17"/>
      <c r="F25" s="16">
        <f>F23+F17</f>
        <v>158455268</v>
      </c>
      <c r="G25" s="17"/>
      <c r="H25" s="16">
        <f>H23+H4+H6+H9+H10+H14</f>
        <v>144670801</v>
      </c>
      <c r="I25" s="17"/>
      <c r="J25" s="16">
        <f>J23+J9+J15</f>
        <v>75238529</v>
      </c>
      <c r="K25" s="17"/>
      <c r="L25" s="16">
        <f>L23+L3</f>
        <v>69191227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-6726811</v>
      </c>
      <c r="E28" s="16"/>
      <c r="F28" s="16">
        <f>F26-F24</f>
        <v>721645</v>
      </c>
      <c r="G28" s="16"/>
      <c r="H28" s="16">
        <f>H26-H24</f>
        <v>79587129.799999997</v>
      </c>
      <c r="I28" s="16"/>
      <c r="J28" s="16">
        <f>J26-J24</f>
        <v>94109518.25999999</v>
      </c>
      <c r="K28" s="16"/>
      <c r="L28" s="16">
        <f>L26-L24</f>
        <v>166762807.88699999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26521189</v>
      </c>
      <c r="E29" s="16"/>
      <c r="F29" s="16">
        <f>F27-F24</f>
        <v>35721645</v>
      </c>
      <c r="G29" s="16"/>
      <c r="H29" s="16">
        <f>H27-H24</f>
        <v>116836129.8</v>
      </c>
      <c r="I29" s="16"/>
      <c r="J29" s="16">
        <f>J27-J24</f>
        <v>133220518.25999999</v>
      </c>
      <c r="K29" s="16"/>
      <c r="L29" s="16">
        <f>L27-L24</f>
        <v>207829807.88699999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EC58-BDF1-44B7-AEF1-654701E2B673}">
  <dimension ref="A1:T34"/>
  <sheetViews>
    <sheetView workbookViewId="0">
      <pane ySplit="2" topLeftCell="A3" activePane="bottomLeft" state="frozen"/>
      <selection pane="bottomLeft" activeCell="Q14" sqref="Q14"/>
    </sheetView>
  </sheetViews>
  <sheetFormatPr defaultRowHeight="15" x14ac:dyDescent="0.25"/>
  <cols>
    <col min="1" max="1" width="23.28515625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6.7109375" bestFit="1" customWidth="1"/>
    <col min="17" max="17" width="17.28515625" bestFit="1" customWidth="1"/>
    <col min="18" max="18" width="16.140625" bestFit="1" customWidth="1"/>
    <col min="19" max="19" width="12.28515625" bestFit="1" customWidth="1"/>
    <col min="20" max="20" width="17.85546875" bestFit="1" customWidth="1"/>
  </cols>
  <sheetData>
    <row r="1" spans="1:20" x14ac:dyDescent="0.25">
      <c r="A1" s="75" t="s">
        <v>713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714</v>
      </c>
      <c r="B3" s="6" t="s">
        <v>25</v>
      </c>
      <c r="C3" s="6">
        <v>35</v>
      </c>
      <c r="D3" s="7">
        <v>32400000</v>
      </c>
      <c r="E3" s="38">
        <v>0.21</v>
      </c>
      <c r="F3" s="7">
        <v>34800000</v>
      </c>
      <c r="G3" s="38">
        <v>0.21</v>
      </c>
      <c r="H3" s="14">
        <v>37200000</v>
      </c>
      <c r="I3" s="39">
        <v>0.21299999999999999</v>
      </c>
      <c r="J3" s="10" t="s">
        <v>715</v>
      </c>
      <c r="K3" s="40">
        <v>0.30499999999999999</v>
      </c>
      <c r="L3" s="6"/>
      <c r="M3" s="6"/>
      <c r="O3" s="31" t="s">
        <v>484</v>
      </c>
    </row>
    <row r="4" spans="1:20" x14ac:dyDescent="0.25">
      <c r="A4" s="9" t="s">
        <v>716</v>
      </c>
      <c r="B4" s="6" t="s">
        <v>10</v>
      </c>
      <c r="C4" s="6">
        <v>31</v>
      </c>
      <c r="D4" s="7">
        <v>32000001</v>
      </c>
      <c r="E4" s="38">
        <v>0.20699999999999999</v>
      </c>
      <c r="F4" s="7">
        <v>34206898</v>
      </c>
      <c r="G4" s="38">
        <v>0.20599999999999999</v>
      </c>
      <c r="H4" s="14">
        <v>36413790</v>
      </c>
      <c r="I4" s="39">
        <v>0.20899999999999999</v>
      </c>
      <c r="J4" s="10" t="s">
        <v>717</v>
      </c>
      <c r="K4" s="40">
        <v>0.29799999999999999</v>
      </c>
      <c r="L4" s="6"/>
      <c r="M4" s="6"/>
      <c r="O4" s="32" t="s">
        <v>485</v>
      </c>
    </row>
    <row r="5" spans="1:20" x14ac:dyDescent="0.25">
      <c r="A5" s="9" t="s">
        <v>718</v>
      </c>
      <c r="B5" s="6" t="s">
        <v>14</v>
      </c>
      <c r="C5" s="6">
        <v>25</v>
      </c>
      <c r="D5" s="7">
        <v>14375000</v>
      </c>
      <c r="E5" s="38">
        <v>9.2999999999999999E-2</v>
      </c>
      <c r="F5" s="7">
        <v>13125000</v>
      </c>
      <c r="G5" s="38">
        <v>7.9000000000000001E-2</v>
      </c>
      <c r="H5" s="7">
        <v>11875000</v>
      </c>
      <c r="I5" s="38">
        <v>6.8000000000000005E-2</v>
      </c>
      <c r="J5" s="10" t="s">
        <v>255</v>
      </c>
      <c r="K5" s="40">
        <v>0.123</v>
      </c>
      <c r="L5" s="6"/>
      <c r="M5" s="6"/>
      <c r="O5" s="33" t="s">
        <v>486</v>
      </c>
    </row>
    <row r="6" spans="1:20" x14ac:dyDescent="0.25">
      <c r="A6" s="9" t="s">
        <v>719</v>
      </c>
      <c r="B6" s="6" t="s">
        <v>25</v>
      </c>
      <c r="C6" s="6">
        <v>35</v>
      </c>
      <c r="D6" s="7">
        <v>14104000</v>
      </c>
      <c r="E6" s="38">
        <v>9.0999999999999998E-2</v>
      </c>
      <c r="F6" s="7">
        <v>13398000</v>
      </c>
      <c r="G6" s="38">
        <v>8.1000000000000003E-2</v>
      </c>
      <c r="H6" s="14">
        <v>14104000</v>
      </c>
      <c r="I6" s="39">
        <v>8.1000000000000003E-2</v>
      </c>
      <c r="J6" s="10" t="s">
        <v>720</v>
      </c>
      <c r="K6" s="40">
        <v>0.11600000000000001</v>
      </c>
      <c r="L6" s="6"/>
      <c r="M6" s="6"/>
      <c r="O6" s="34" t="s">
        <v>487</v>
      </c>
    </row>
    <row r="7" spans="1:20" x14ac:dyDescent="0.25">
      <c r="A7" s="9" t="s">
        <v>721</v>
      </c>
      <c r="B7" s="6" t="s">
        <v>18</v>
      </c>
      <c r="C7" s="6">
        <v>28</v>
      </c>
      <c r="D7" s="7">
        <v>13285713</v>
      </c>
      <c r="E7" s="38">
        <v>8.5999999999999993E-2</v>
      </c>
      <c r="F7" s="10" t="s">
        <v>300</v>
      </c>
      <c r="G7" s="40">
        <v>0.12</v>
      </c>
      <c r="H7" s="6"/>
      <c r="I7" s="6"/>
      <c r="J7" s="6"/>
      <c r="K7" s="6"/>
      <c r="L7" s="6"/>
      <c r="M7" s="6"/>
    </row>
    <row r="8" spans="1:20" x14ac:dyDescent="0.25">
      <c r="A8" s="9" t="s">
        <v>722</v>
      </c>
      <c r="B8" s="6" t="s">
        <v>11</v>
      </c>
      <c r="C8" s="6">
        <v>28</v>
      </c>
      <c r="D8" s="7">
        <v>11550000</v>
      </c>
      <c r="E8" s="38">
        <v>7.4999999999999997E-2</v>
      </c>
      <c r="F8" s="10" t="s">
        <v>323</v>
      </c>
      <c r="G8" s="40">
        <v>0.13200000000000001</v>
      </c>
      <c r="H8" s="6"/>
      <c r="I8" s="6"/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723</v>
      </c>
      <c r="B9" s="6" t="s">
        <v>25</v>
      </c>
      <c r="C9" s="6">
        <v>21</v>
      </c>
      <c r="D9" s="7">
        <v>10748040</v>
      </c>
      <c r="E9" s="38">
        <v>7.0000000000000007E-2</v>
      </c>
      <c r="F9" s="7">
        <v>13585523</v>
      </c>
      <c r="G9" s="38">
        <v>8.2000000000000003E-2</v>
      </c>
      <c r="H9" s="12" t="s">
        <v>724</v>
      </c>
      <c r="I9" s="42">
        <v>0.23400000000000001</v>
      </c>
      <c r="J9" s="6"/>
      <c r="K9" s="6"/>
      <c r="L9" s="6"/>
      <c r="M9" s="6"/>
      <c r="O9" t="s">
        <v>488</v>
      </c>
      <c r="P9" s="9" t="s">
        <v>719</v>
      </c>
      <c r="Q9" s="9" t="s">
        <v>714</v>
      </c>
      <c r="R9" s="9" t="s">
        <v>725</v>
      </c>
      <c r="S9" s="9" t="s">
        <v>718</v>
      </c>
      <c r="T9" s="9" t="s">
        <v>726</v>
      </c>
    </row>
    <row r="10" spans="1:20" x14ac:dyDescent="0.25">
      <c r="A10" s="9" t="s">
        <v>725</v>
      </c>
      <c r="B10" s="6" t="s">
        <v>11</v>
      </c>
      <c r="C10" s="6">
        <v>22</v>
      </c>
      <c r="D10" s="7">
        <v>8399983</v>
      </c>
      <c r="E10" s="38">
        <v>5.3999999999999999E-2</v>
      </c>
      <c r="F10" s="7">
        <v>20089287</v>
      </c>
      <c r="G10" s="38">
        <v>0.121</v>
      </c>
      <c r="H10" s="7">
        <v>21696429</v>
      </c>
      <c r="I10" s="38">
        <v>0.124</v>
      </c>
      <c r="J10" s="7">
        <v>23303571</v>
      </c>
      <c r="K10" s="38">
        <v>0.127</v>
      </c>
      <c r="L10" s="7">
        <v>24910713</v>
      </c>
      <c r="M10" s="38">
        <v>0.13</v>
      </c>
      <c r="O10" t="s">
        <v>489</v>
      </c>
      <c r="P10" s="9" t="s">
        <v>723</v>
      </c>
      <c r="Q10" s="9" t="s">
        <v>722</v>
      </c>
      <c r="R10" s="9" t="s">
        <v>733</v>
      </c>
      <c r="S10" s="9" t="s">
        <v>716</v>
      </c>
      <c r="T10" s="9" t="s">
        <v>721</v>
      </c>
    </row>
    <row r="11" spans="1:20" x14ac:dyDescent="0.25">
      <c r="A11" s="9" t="s">
        <v>726</v>
      </c>
      <c r="B11" s="6" t="s">
        <v>18</v>
      </c>
      <c r="C11" s="6">
        <v>21</v>
      </c>
      <c r="D11" s="7">
        <v>7178400</v>
      </c>
      <c r="E11" s="38">
        <v>4.5999999999999999E-2</v>
      </c>
      <c r="F11" s="7">
        <v>7519920</v>
      </c>
      <c r="G11" s="38">
        <v>4.4999999999999998E-2</v>
      </c>
      <c r="H11" s="13">
        <v>9550298</v>
      </c>
      <c r="I11" s="41">
        <v>5.5E-2</v>
      </c>
      <c r="J11" s="12" t="s">
        <v>727</v>
      </c>
      <c r="K11" s="42">
        <v>0.157</v>
      </c>
      <c r="L11" s="6"/>
      <c r="M11" s="6"/>
      <c r="O11" t="s">
        <v>490</v>
      </c>
      <c r="P11" s="9" t="s">
        <v>736</v>
      </c>
      <c r="Q11" s="9" t="s">
        <v>732</v>
      </c>
      <c r="R11" s="9" t="s">
        <v>731</v>
      </c>
      <c r="S11" s="9" t="s">
        <v>729</v>
      </c>
      <c r="T11" s="9" t="s">
        <v>728</v>
      </c>
    </row>
    <row r="12" spans="1:20" x14ac:dyDescent="0.25">
      <c r="A12" s="9" t="s">
        <v>728</v>
      </c>
      <c r="B12" s="6" t="s">
        <v>18</v>
      </c>
      <c r="C12" s="6">
        <v>20</v>
      </c>
      <c r="D12" s="7">
        <v>4422360</v>
      </c>
      <c r="E12" s="38">
        <v>2.9000000000000001E-2</v>
      </c>
      <c r="F12" s="7">
        <v>4643520</v>
      </c>
      <c r="G12" s="38">
        <v>2.8000000000000001E-2</v>
      </c>
      <c r="H12" s="13">
        <v>4864920</v>
      </c>
      <c r="I12" s="41">
        <v>2.8000000000000001E-2</v>
      </c>
      <c r="J12" s="13">
        <v>7462788</v>
      </c>
      <c r="K12" s="41">
        <v>4.1000000000000002E-2</v>
      </c>
      <c r="L12" s="12" t="s">
        <v>631</v>
      </c>
      <c r="M12" s="42">
        <v>0.11700000000000001</v>
      </c>
      <c r="Q12" s="9" t="s">
        <v>734</v>
      </c>
    </row>
    <row r="13" spans="1:20" x14ac:dyDescent="0.25">
      <c r="A13" s="9" t="s">
        <v>729</v>
      </c>
      <c r="B13" s="6" t="s">
        <v>10</v>
      </c>
      <c r="C13" s="6">
        <v>25</v>
      </c>
      <c r="D13" s="7">
        <v>3132000</v>
      </c>
      <c r="E13" s="38">
        <v>0.02</v>
      </c>
      <c r="F13" s="7">
        <v>5315004</v>
      </c>
      <c r="G13" s="38">
        <v>3.2000000000000001E-2</v>
      </c>
      <c r="H13" s="12" t="s">
        <v>730</v>
      </c>
      <c r="I13" s="42">
        <v>9.0999999999999998E-2</v>
      </c>
      <c r="J13" s="6"/>
      <c r="K13" s="6"/>
      <c r="L13" s="6"/>
      <c r="M13" s="6"/>
      <c r="Q13" s="9" t="s">
        <v>735</v>
      </c>
    </row>
    <row r="14" spans="1:20" x14ac:dyDescent="0.25">
      <c r="A14" s="9" t="s">
        <v>731</v>
      </c>
      <c r="B14" s="6" t="s">
        <v>25</v>
      </c>
      <c r="C14" s="6">
        <v>25</v>
      </c>
      <c r="D14" s="7">
        <v>2349578</v>
      </c>
      <c r="E14" s="38">
        <v>1.4999999999999999E-2</v>
      </c>
      <c r="F14" s="7">
        <v>2667944</v>
      </c>
      <c r="G14" s="38">
        <v>1.6E-2</v>
      </c>
      <c r="H14" s="13">
        <v>3005085</v>
      </c>
      <c r="I14" s="41">
        <v>1.7000000000000001E-2</v>
      </c>
      <c r="J14" s="10" t="s">
        <v>120</v>
      </c>
      <c r="K14" s="40">
        <v>1.7000000000000001E-2</v>
      </c>
      <c r="L14" s="6"/>
      <c r="M14" s="6"/>
      <c r="Q14" s="9" t="s">
        <v>738</v>
      </c>
    </row>
    <row r="15" spans="1:20" x14ac:dyDescent="0.25">
      <c r="A15" s="9" t="s">
        <v>732</v>
      </c>
      <c r="B15" s="6" t="s">
        <v>11</v>
      </c>
      <c r="C15" s="6">
        <v>22</v>
      </c>
      <c r="D15" s="7">
        <v>2296274</v>
      </c>
      <c r="E15" s="38">
        <v>1.4999999999999999E-2</v>
      </c>
      <c r="F15" s="10" t="s">
        <v>57</v>
      </c>
      <c r="G15" s="40">
        <v>1.4999999999999999E-2</v>
      </c>
      <c r="H15" s="6"/>
      <c r="I15" s="6"/>
      <c r="J15" s="6"/>
      <c r="K15" s="6"/>
      <c r="L15" s="6"/>
      <c r="M15" s="6"/>
    </row>
    <row r="16" spans="1:20" x14ac:dyDescent="0.25">
      <c r="A16" s="9" t="s">
        <v>733</v>
      </c>
      <c r="B16" s="6" t="s">
        <v>10</v>
      </c>
      <c r="C16" s="6">
        <v>25</v>
      </c>
      <c r="D16" s="7">
        <v>2221677</v>
      </c>
      <c r="E16" s="38">
        <v>1.4E-2</v>
      </c>
      <c r="F16" s="7">
        <v>18080358</v>
      </c>
      <c r="G16" s="38">
        <v>0.109</v>
      </c>
      <c r="H16" s="7">
        <v>19526786</v>
      </c>
      <c r="I16" s="38">
        <v>0.112</v>
      </c>
      <c r="J16" s="7">
        <v>20973214</v>
      </c>
      <c r="K16" s="38">
        <v>0.115</v>
      </c>
      <c r="L16" s="7">
        <v>22419642</v>
      </c>
      <c r="M16" s="38">
        <v>0.11700000000000001</v>
      </c>
    </row>
    <row r="17" spans="1:13" x14ac:dyDescent="0.25">
      <c r="A17" s="9" t="s">
        <v>734</v>
      </c>
      <c r="B17" s="6" t="s">
        <v>11</v>
      </c>
      <c r="C17" s="6">
        <v>21</v>
      </c>
      <c r="D17" s="7">
        <v>686243</v>
      </c>
      <c r="E17" s="38">
        <v>4.0000000000000001E-3</v>
      </c>
      <c r="F17" s="7">
        <v>2497812</v>
      </c>
      <c r="G17" s="38">
        <v>1.4999999999999999E-2</v>
      </c>
      <c r="H17" s="10" t="s">
        <v>58</v>
      </c>
      <c r="I17" s="40">
        <v>1.4999999999999999E-2</v>
      </c>
      <c r="J17" s="6"/>
      <c r="K17" s="6"/>
      <c r="L17" s="6"/>
      <c r="M17" s="6"/>
    </row>
    <row r="18" spans="1:13" x14ac:dyDescent="0.25">
      <c r="A18" s="9" t="s">
        <v>735</v>
      </c>
      <c r="B18" s="6" t="s">
        <v>11</v>
      </c>
      <c r="C18" s="6">
        <v>23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736</v>
      </c>
      <c r="B19" s="6" t="s">
        <v>29</v>
      </c>
      <c r="C19" s="6">
        <v>24</v>
      </c>
      <c r="D19" s="6" t="s">
        <v>63</v>
      </c>
      <c r="E19" s="6"/>
      <c r="F19" s="10" t="s">
        <v>737</v>
      </c>
      <c r="G19" s="40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738</v>
      </c>
      <c r="B20" s="6" t="s">
        <v>11</v>
      </c>
      <c r="C20" s="6">
        <v>23</v>
      </c>
      <c r="D20" s="6" t="s">
        <v>63</v>
      </c>
      <c r="E20" s="6"/>
      <c r="F20" s="6" t="s">
        <v>63</v>
      </c>
      <c r="G20" s="6"/>
      <c r="H20" s="12" t="s">
        <v>64</v>
      </c>
      <c r="I20" s="42">
        <v>1.2999999999999999E-2</v>
      </c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159149269</v>
      </c>
      <c r="E23" s="29"/>
      <c r="F23" s="16">
        <f>SUM(F3:F6,F9:F14,F16:F17)</f>
        <v>169929266</v>
      </c>
      <c r="G23" s="17"/>
      <c r="H23" s="16">
        <f>SUM(H5,H10,H16)</f>
        <v>53098215</v>
      </c>
      <c r="I23" s="17"/>
      <c r="J23" s="16">
        <f>SUM(J10,J16)</f>
        <v>44276785</v>
      </c>
      <c r="K23" s="17"/>
      <c r="L23" s="16">
        <f>SUM(L10,L16)</f>
        <v>47330355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159149269</v>
      </c>
      <c r="E24" s="17"/>
      <c r="F24" s="16">
        <f>F23+E31*3</f>
        <v>174133079</v>
      </c>
      <c r="G24" s="17"/>
      <c r="H24" s="16">
        <f>H23+E32*12</f>
        <v>71594992.200000003</v>
      </c>
      <c r="I24" s="17"/>
      <c r="J24" s="16">
        <f>J23+E33*13</f>
        <v>66318777.829999998</v>
      </c>
      <c r="K24" s="16"/>
      <c r="L24" s="16">
        <f>L23+E34*13</f>
        <v>71576547.113000005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159149269</v>
      </c>
      <c r="E25" s="17"/>
      <c r="F25" s="16">
        <f>F23</f>
        <v>169929266</v>
      </c>
      <c r="G25" s="17"/>
      <c r="H25" s="16">
        <f>H23+H3+H4+H6+H11+H12+H14</f>
        <v>158236308</v>
      </c>
      <c r="I25" s="17"/>
      <c r="J25" s="16">
        <f>J23+J12</f>
        <v>51739573</v>
      </c>
      <c r="K25" s="17"/>
      <c r="L25" s="16">
        <f>L23</f>
        <v>47330355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-4502269</v>
      </c>
      <c r="E28" s="16"/>
      <c r="F28" s="16">
        <f>F26-F24</f>
        <v>-9133079</v>
      </c>
      <c r="G28" s="16"/>
      <c r="H28" s="16">
        <f>H26-H24</f>
        <v>101655007.8</v>
      </c>
      <c r="I28" s="16"/>
      <c r="J28" s="16">
        <f>J26-J24</f>
        <v>115594222.17</v>
      </c>
      <c r="K28" s="16"/>
      <c r="L28" s="16">
        <f>L26-L24</f>
        <v>119432452.88699999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28745731</v>
      </c>
      <c r="E29" s="16"/>
      <c r="F29" s="16">
        <f>F27-F24</f>
        <v>25866921</v>
      </c>
      <c r="G29" s="16"/>
      <c r="H29" s="16">
        <f>H27-H24</f>
        <v>138904007.80000001</v>
      </c>
      <c r="I29" s="16"/>
      <c r="J29" s="16">
        <f>J27-J24</f>
        <v>154705222.17000002</v>
      </c>
      <c r="K29" s="16"/>
      <c r="L29" s="16">
        <f>L27-L24</f>
        <v>160499452.88699999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142F-F59B-4B08-90AE-428F8DC69496}">
  <dimension ref="A1:T34"/>
  <sheetViews>
    <sheetView workbookViewId="0">
      <pane ySplit="2" topLeftCell="A3" activePane="bottomLeft" state="frozen"/>
      <selection pane="bottomLeft" activeCell="L25" sqref="L25"/>
    </sheetView>
  </sheetViews>
  <sheetFormatPr defaultRowHeight="15" x14ac:dyDescent="0.25"/>
  <cols>
    <col min="1" max="1" width="18.28515625" bestFit="1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8.28515625" bestFit="1" customWidth="1"/>
    <col min="17" max="17" width="17.85546875" bestFit="1" customWidth="1"/>
    <col min="18" max="18" width="17.28515625" bestFit="1" customWidth="1"/>
    <col min="19" max="19" width="16.85546875" bestFit="1" customWidth="1"/>
    <col min="20" max="20" width="18" bestFit="1" customWidth="1"/>
  </cols>
  <sheetData>
    <row r="1" spans="1:20" x14ac:dyDescent="0.25">
      <c r="A1" s="75" t="s">
        <v>739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740</v>
      </c>
      <c r="B3" s="6" t="s">
        <v>11</v>
      </c>
      <c r="C3" s="6">
        <v>30</v>
      </c>
      <c r="D3" s="7">
        <v>47499660</v>
      </c>
      <c r="E3" s="38">
        <v>0.307</v>
      </c>
      <c r="F3" s="14">
        <v>48967380</v>
      </c>
      <c r="G3" s="39">
        <v>0.29499999999999998</v>
      </c>
      <c r="H3" s="10" t="s">
        <v>741</v>
      </c>
      <c r="I3" s="40">
        <v>0.32500000000000001</v>
      </c>
      <c r="J3" s="6"/>
      <c r="K3" s="6"/>
      <c r="L3" s="6"/>
      <c r="M3" s="6"/>
      <c r="O3" s="31" t="s">
        <v>484</v>
      </c>
    </row>
    <row r="4" spans="1:20" x14ac:dyDescent="0.25">
      <c r="A4" s="9" t="s">
        <v>742</v>
      </c>
      <c r="B4" s="6" t="s">
        <v>10</v>
      </c>
      <c r="C4" s="6">
        <v>29</v>
      </c>
      <c r="D4" s="7">
        <v>42336000</v>
      </c>
      <c r="E4" s="38">
        <v>0.27400000000000002</v>
      </c>
      <c r="F4" s="7">
        <v>45472000</v>
      </c>
      <c r="G4" s="38">
        <v>0.27400000000000002</v>
      </c>
      <c r="H4" s="7">
        <v>48608000</v>
      </c>
      <c r="I4" s="38">
        <v>0.27900000000000003</v>
      </c>
      <c r="J4" s="10" t="s">
        <v>186</v>
      </c>
      <c r="K4" s="40">
        <v>0.39800000000000002</v>
      </c>
      <c r="L4" s="6"/>
      <c r="M4" s="6"/>
      <c r="O4" s="32" t="s">
        <v>485</v>
      </c>
    </row>
    <row r="5" spans="1:20" x14ac:dyDescent="0.25">
      <c r="A5" s="9" t="s">
        <v>743</v>
      </c>
      <c r="B5" s="6" t="s">
        <v>14</v>
      </c>
      <c r="C5" s="6">
        <v>36</v>
      </c>
      <c r="D5" s="7">
        <v>24570000</v>
      </c>
      <c r="E5" s="38">
        <v>0.159</v>
      </c>
      <c r="F5" s="7">
        <v>25740000</v>
      </c>
      <c r="G5" s="38">
        <v>0.155</v>
      </c>
      <c r="H5" s="10" t="s">
        <v>744</v>
      </c>
      <c r="I5" s="40">
        <v>0.221</v>
      </c>
      <c r="J5" s="6"/>
      <c r="K5" s="6"/>
      <c r="L5" s="6"/>
      <c r="M5" s="6"/>
      <c r="O5" s="33" t="s">
        <v>486</v>
      </c>
    </row>
    <row r="6" spans="1:20" x14ac:dyDescent="0.25">
      <c r="A6" s="9" t="s">
        <v>745</v>
      </c>
      <c r="B6" s="6" t="s">
        <v>14</v>
      </c>
      <c r="C6" s="6">
        <v>28</v>
      </c>
      <c r="D6" s="7">
        <v>23303571</v>
      </c>
      <c r="E6" s="38">
        <v>0.151</v>
      </c>
      <c r="F6" s="7">
        <v>24910714</v>
      </c>
      <c r="G6" s="38">
        <v>0.15</v>
      </c>
      <c r="H6" s="10" t="s">
        <v>746</v>
      </c>
      <c r="I6" s="40">
        <v>0.214</v>
      </c>
      <c r="J6" s="6"/>
      <c r="K6" s="6"/>
      <c r="L6" s="6"/>
      <c r="M6" s="6"/>
      <c r="O6" s="34" t="s">
        <v>487</v>
      </c>
    </row>
    <row r="7" spans="1:20" x14ac:dyDescent="0.25">
      <c r="A7" s="9" t="s">
        <v>747</v>
      </c>
      <c r="B7" s="6" t="s">
        <v>11</v>
      </c>
      <c r="C7" s="6">
        <v>27</v>
      </c>
      <c r="D7" s="7">
        <v>18797619</v>
      </c>
      <c r="E7" s="38">
        <v>0.122</v>
      </c>
      <c r="F7" s="7">
        <v>20190035</v>
      </c>
      <c r="G7" s="38">
        <v>0.122</v>
      </c>
      <c r="H7" s="14">
        <v>21582451</v>
      </c>
      <c r="I7" s="39">
        <v>0.124</v>
      </c>
      <c r="J7" s="10" t="s">
        <v>75</v>
      </c>
      <c r="K7" s="40">
        <v>0.17699999999999999</v>
      </c>
      <c r="L7" s="6"/>
      <c r="M7" s="6"/>
    </row>
    <row r="8" spans="1:20" x14ac:dyDescent="0.25">
      <c r="A8" s="9" t="s">
        <v>748</v>
      </c>
      <c r="B8" s="6" t="s">
        <v>10</v>
      </c>
      <c r="C8" s="6">
        <v>25</v>
      </c>
      <c r="D8" s="7">
        <v>11144093</v>
      </c>
      <c r="E8" s="38">
        <v>7.1999999999999995E-2</v>
      </c>
      <c r="F8" s="7">
        <v>24137936</v>
      </c>
      <c r="G8" s="38">
        <v>0.14499999999999999</v>
      </c>
      <c r="H8" s="7">
        <v>26068965</v>
      </c>
      <c r="I8" s="38">
        <v>0.15</v>
      </c>
      <c r="J8" s="7">
        <v>27999999</v>
      </c>
      <c r="K8" s="38">
        <v>0.153</v>
      </c>
      <c r="L8" s="7">
        <v>29931033</v>
      </c>
      <c r="M8" s="38">
        <v>0.156</v>
      </c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749</v>
      </c>
      <c r="B9" s="6" t="s">
        <v>25</v>
      </c>
      <c r="C9" s="6">
        <v>23</v>
      </c>
      <c r="D9" s="7">
        <v>4923720</v>
      </c>
      <c r="E9" s="38">
        <v>3.2000000000000001E-2</v>
      </c>
      <c r="F9" s="7">
        <v>5158080</v>
      </c>
      <c r="G9" s="38">
        <v>3.1E-2</v>
      </c>
      <c r="H9" s="13">
        <v>7370897</v>
      </c>
      <c r="I9" s="41">
        <v>4.2000000000000003E-2</v>
      </c>
      <c r="J9" s="12" t="s">
        <v>750</v>
      </c>
      <c r="K9" s="42">
        <v>0.121</v>
      </c>
      <c r="L9" s="6"/>
      <c r="M9" s="6"/>
      <c r="O9" t="s">
        <v>488</v>
      </c>
      <c r="P9" s="9" t="s">
        <v>754</v>
      </c>
      <c r="Q9" s="9" t="s">
        <v>740</v>
      </c>
      <c r="R9" s="9" t="s">
        <v>743</v>
      </c>
      <c r="S9" s="9" t="s">
        <v>748</v>
      </c>
      <c r="T9" s="9" t="s">
        <v>742</v>
      </c>
    </row>
    <row r="10" spans="1:20" x14ac:dyDescent="0.25">
      <c r="A10" s="9" t="s">
        <v>751</v>
      </c>
      <c r="B10" s="6" t="s">
        <v>14</v>
      </c>
      <c r="C10" s="6">
        <v>23</v>
      </c>
      <c r="D10" s="7">
        <v>3108120</v>
      </c>
      <c r="E10" s="38">
        <v>0.02</v>
      </c>
      <c r="F10" s="7">
        <v>3263400</v>
      </c>
      <c r="G10" s="38">
        <v>0.02</v>
      </c>
      <c r="H10" s="13">
        <v>3418800</v>
      </c>
      <c r="I10" s="41">
        <v>0.02</v>
      </c>
      <c r="J10" s="13">
        <v>5979481</v>
      </c>
      <c r="K10" s="41">
        <v>3.3000000000000002E-2</v>
      </c>
      <c r="L10" s="12" t="s">
        <v>752</v>
      </c>
      <c r="M10" s="42">
        <v>9.2999999999999999E-2</v>
      </c>
      <c r="O10" t="s">
        <v>489</v>
      </c>
      <c r="P10" s="9" t="s">
        <v>749</v>
      </c>
      <c r="Q10" s="9" t="s">
        <v>747</v>
      </c>
      <c r="R10" s="9" t="s">
        <v>745</v>
      </c>
      <c r="S10" s="9" t="s">
        <v>756</v>
      </c>
      <c r="T10" s="9" t="s">
        <v>757</v>
      </c>
    </row>
    <row r="11" spans="1:20" x14ac:dyDescent="0.25">
      <c r="A11" s="9" t="s">
        <v>753</v>
      </c>
      <c r="B11" s="6" t="s">
        <v>18</v>
      </c>
      <c r="C11" s="6">
        <v>28</v>
      </c>
      <c r="D11" s="7">
        <v>2296274</v>
      </c>
      <c r="E11" s="38">
        <v>1.4999999999999999E-2</v>
      </c>
      <c r="F11" s="10" t="s">
        <v>57</v>
      </c>
      <c r="G11" s="40">
        <v>1.4999999999999999E-2</v>
      </c>
      <c r="H11" s="6"/>
      <c r="I11" s="6"/>
      <c r="J11" s="6"/>
      <c r="K11" s="6"/>
      <c r="L11" s="6"/>
      <c r="M11" s="6"/>
      <c r="O11" t="s">
        <v>490</v>
      </c>
      <c r="P11" s="9" t="s">
        <v>759</v>
      </c>
      <c r="Q11" s="9" t="s">
        <v>755</v>
      </c>
      <c r="R11" s="9" t="s">
        <v>751</v>
      </c>
      <c r="S11" s="9" t="s">
        <v>758</v>
      </c>
      <c r="T11" s="9" t="s">
        <v>753</v>
      </c>
    </row>
    <row r="12" spans="1:20" x14ac:dyDescent="0.25">
      <c r="A12" s="9" t="s">
        <v>754</v>
      </c>
      <c r="B12" s="6" t="s">
        <v>25</v>
      </c>
      <c r="C12" s="6">
        <v>37</v>
      </c>
      <c r="D12" s="7">
        <v>2296274</v>
      </c>
      <c r="E12" s="38">
        <v>1.4999999999999999E-2</v>
      </c>
      <c r="F12" s="10" t="s">
        <v>123</v>
      </c>
      <c r="G12" s="40">
        <v>1.38E-2</v>
      </c>
      <c r="H12" s="6"/>
      <c r="I12" s="6"/>
      <c r="J12" s="6"/>
      <c r="K12" s="6"/>
      <c r="L12" s="6"/>
      <c r="M12" s="6"/>
      <c r="P12" s="9" t="s">
        <v>760</v>
      </c>
      <c r="Q12" s="9" t="s">
        <v>761</v>
      </c>
      <c r="R12" s="9" t="s">
        <v>762</v>
      </c>
    </row>
    <row r="13" spans="1:20" x14ac:dyDescent="0.25">
      <c r="A13" s="9" t="s">
        <v>755</v>
      </c>
      <c r="B13" s="6" t="s">
        <v>14</v>
      </c>
      <c r="C13" s="6">
        <v>34</v>
      </c>
      <c r="D13" s="7">
        <v>2296274</v>
      </c>
      <c r="E13" s="38">
        <v>1.4999999999999999E-2</v>
      </c>
      <c r="F13" s="10" t="s">
        <v>57</v>
      </c>
      <c r="G13" s="40">
        <v>1.4999999999999999E-2</v>
      </c>
      <c r="H13" s="6"/>
      <c r="I13" s="6"/>
      <c r="J13" s="6"/>
      <c r="K13" s="6"/>
      <c r="L13" s="6"/>
      <c r="M13" s="6"/>
    </row>
    <row r="14" spans="1:20" x14ac:dyDescent="0.25">
      <c r="A14" s="9" t="s">
        <v>756</v>
      </c>
      <c r="B14" s="6" t="s">
        <v>10</v>
      </c>
      <c r="C14" s="6">
        <v>26</v>
      </c>
      <c r="D14" s="7">
        <v>2111516</v>
      </c>
      <c r="E14" s="38">
        <v>1.4E-2</v>
      </c>
      <c r="F14" s="10" t="s">
        <v>57</v>
      </c>
      <c r="G14" s="40">
        <v>1.4999999999999999E-2</v>
      </c>
      <c r="H14" s="6"/>
      <c r="I14" s="6"/>
      <c r="J14" s="6"/>
      <c r="K14" s="6"/>
      <c r="L14" s="6"/>
      <c r="M14" s="6"/>
    </row>
    <row r="15" spans="1:20" x14ac:dyDescent="0.25">
      <c r="A15" s="9" t="s">
        <v>757</v>
      </c>
      <c r="B15" s="6" t="s">
        <v>18</v>
      </c>
      <c r="C15" s="6">
        <v>22</v>
      </c>
      <c r="D15" s="7">
        <v>1272870</v>
      </c>
      <c r="E15" s="38">
        <v>8.0000000000000002E-3</v>
      </c>
      <c r="F15" s="7">
        <v>2150918</v>
      </c>
      <c r="G15" s="38">
        <v>1.2999999999999999E-2</v>
      </c>
      <c r="H15" s="13">
        <v>2525901</v>
      </c>
      <c r="I15" s="41">
        <v>1.4E-2</v>
      </c>
      <c r="J15" s="12" t="s">
        <v>30</v>
      </c>
      <c r="K15" s="42">
        <v>1.9E-2</v>
      </c>
      <c r="L15" s="6"/>
      <c r="M15" s="6"/>
    </row>
    <row r="16" spans="1:20" x14ac:dyDescent="0.25">
      <c r="A16" s="9" t="s">
        <v>758</v>
      </c>
      <c r="B16" s="6" t="s">
        <v>10</v>
      </c>
      <c r="C16" s="6">
        <v>24</v>
      </c>
      <c r="D16" s="7">
        <v>871000</v>
      </c>
      <c r="E16" s="38">
        <v>6.0000000000000001E-3</v>
      </c>
      <c r="F16" s="7">
        <v>2150917</v>
      </c>
      <c r="G16" s="38">
        <v>1.2999999999999999E-2</v>
      </c>
      <c r="H16" s="7">
        <v>2525901</v>
      </c>
      <c r="I16" s="38">
        <v>1.4E-2</v>
      </c>
      <c r="J16" s="13">
        <v>2735698</v>
      </c>
      <c r="K16" s="41">
        <v>1.4999999999999999E-2</v>
      </c>
      <c r="L16" s="10" t="s">
        <v>579</v>
      </c>
      <c r="M16" s="40">
        <v>1.4999999999999999E-2</v>
      </c>
    </row>
    <row r="17" spans="1:13" x14ac:dyDescent="0.25">
      <c r="A17" s="9" t="s">
        <v>759</v>
      </c>
      <c r="B17" s="6" t="s">
        <v>25</v>
      </c>
      <c r="C17" s="6">
        <v>24</v>
      </c>
      <c r="D17" s="7">
        <v>444658</v>
      </c>
      <c r="E17" s="38">
        <v>3.0000000000000001E-3</v>
      </c>
      <c r="F17" s="13">
        <v>3018158</v>
      </c>
      <c r="G17" s="41">
        <v>1.7999999999999999E-2</v>
      </c>
      <c r="H17" s="10" t="s">
        <v>58</v>
      </c>
      <c r="I17" s="40">
        <v>1.4999999999999999E-2</v>
      </c>
      <c r="J17" s="6"/>
      <c r="K17" s="6"/>
      <c r="L17" s="6"/>
      <c r="M17" s="6"/>
    </row>
    <row r="18" spans="1:13" x14ac:dyDescent="0.25">
      <c r="A18" s="9" t="s">
        <v>760</v>
      </c>
      <c r="B18" s="6" t="s">
        <v>25</v>
      </c>
      <c r="C18" s="6">
        <v>25</v>
      </c>
      <c r="D18" s="6" t="s">
        <v>63</v>
      </c>
      <c r="E18" s="6"/>
      <c r="F18" s="1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761</v>
      </c>
      <c r="B19" s="6" t="s">
        <v>29</v>
      </c>
      <c r="C19" s="6">
        <v>27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762</v>
      </c>
      <c r="B20" s="6" t="s">
        <v>14</v>
      </c>
      <c r="C20" s="6">
        <v>23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187271649</v>
      </c>
      <c r="E23" s="29"/>
      <c r="F23" s="16">
        <f>SUM(F4:F10,F15:F16)</f>
        <v>153174000</v>
      </c>
      <c r="G23" s="17"/>
      <c r="H23" s="16">
        <f>SUM(H4,H8,H16)</f>
        <v>77202866</v>
      </c>
      <c r="I23" s="17"/>
      <c r="J23" s="16">
        <f>SUM(J8)</f>
        <v>27999999</v>
      </c>
      <c r="K23" s="17"/>
      <c r="L23" s="16">
        <f>SUM(L8)</f>
        <v>29931033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187271649</v>
      </c>
      <c r="E24" s="17"/>
      <c r="F24" s="16">
        <f>F23+E31*6</f>
        <v>161581626</v>
      </c>
      <c r="G24" s="17"/>
      <c r="H24" s="16">
        <f>H23+E32*12</f>
        <v>95699643.200000003</v>
      </c>
      <c r="I24" s="17"/>
      <c r="J24" s="16">
        <f>J23+E33*14</f>
        <v>51737529.740000002</v>
      </c>
      <c r="K24" s="16"/>
      <c r="L24" s="16">
        <f>L23+E34*14</f>
        <v>56042316.814000003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187271649</v>
      </c>
      <c r="E25" s="17"/>
      <c r="F25" s="16">
        <f>F23+F3+F17</f>
        <v>205159538</v>
      </c>
      <c r="G25" s="17"/>
      <c r="H25" s="16">
        <f>H23+H7+H9+H10+H15</f>
        <v>112100915</v>
      </c>
      <c r="I25" s="17"/>
      <c r="J25" s="16">
        <f>J23+J10+J16</f>
        <v>36715178</v>
      </c>
      <c r="K25" s="17"/>
      <c r="L25" s="16">
        <f>L23</f>
        <v>29931033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-32624649</v>
      </c>
      <c r="E28" s="16"/>
      <c r="F28" s="16">
        <f>F26-F24</f>
        <v>3418374</v>
      </c>
      <c r="G28" s="16"/>
      <c r="H28" s="16">
        <f>H26-H24</f>
        <v>77550356.799999997</v>
      </c>
      <c r="I28" s="16"/>
      <c r="J28" s="16">
        <f>J26-J24</f>
        <v>130175470.25999999</v>
      </c>
      <c r="K28" s="16"/>
      <c r="L28" s="16">
        <f>L26-L24</f>
        <v>134966683.18599999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623351</v>
      </c>
      <c r="E29" s="16"/>
      <c r="F29" s="16">
        <f>F27-F24</f>
        <v>38418374</v>
      </c>
      <c r="G29" s="16"/>
      <c r="H29" s="16">
        <f>H27-H24</f>
        <v>114799356.8</v>
      </c>
      <c r="I29" s="16"/>
      <c r="J29" s="16">
        <f>J27-J24</f>
        <v>169286470.25999999</v>
      </c>
      <c r="K29" s="16"/>
      <c r="L29" s="16">
        <f>L27-L24</f>
        <v>176033683.18599999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ED61-AEDF-423C-A6ED-F82DC0285FB9}">
  <dimension ref="A1:T34"/>
  <sheetViews>
    <sheetView workbookViewId="0">
      <pane ySplit="2" topLeftCell="A3" activePane="bottomLeft" state="frozen"/>
      <selection pane="bottomLeft" activeCell="R14" sqref="R14"/>
    </sheetView>
  </sheetViews>
  <sheetFormatPr defaultRowHeight="15" x14ac:dyDescent="0.25"/>
  <cols>
    <col min="1" max="1" width="19.7109375" bestFit="1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customWidth="1"/>
    <col min="15" max="15" width="13.28515625" bestFit="1" customWidth="1"/>
    <col min="16" max="16" width="17.7109375" bestFit="1" customWidth="1"/>
    <col min="17" max="17" width="15" bestFit="1" customWidth="1"/>
    <col min="18" max="18" width="18.42578125" bestFit="1" customWidth="1"/>
    <col min="19" max="19" width="18.140625" bestFit="1" customWidth="1"/>
    <col min="20" max="20" width="19.7109375" bestFit="1" customWidth="1"/>
  </cols>
  <sheetData>
    <row r="1" spans="1:20" x14ac:dyDescent="0.25">
      <c r="A1" s="75" t="s">
        <v>763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764</v>
      </c>
      <c r="B3" s="6" t="s">
        <v>25</v>
      </c>
      <c r="C3" s="6">
        <v>28</v>
      </c>
      <c r="D3" s="7">
        <v>37096620</v>
      </c>
      <c r="E3" s="38">
        <v>0.24</v>
      </c>
      <c r="F3" s="7">
        <v>49800000</v>
      </c>
      <c r="G3" s="38">
        <v>0.3</v>
      </c>
      <c r="H3" s="7">
        <v>53784000</v>
      </c>
      <c r="I3" s="38">
        <v>0.309</v>
      </c>
      <c r="J3" s="7">
        <v>57768000</v>
      </c>
      <c r="K3" s="38">
        <v>0.316</v>
      </c>
      <c r="L3" s="7">
        <v>61752000</v>
      </c>
      <c r="M3" s="38">
        <v>0.32100000000000001</v>
      </c>
      <c r="O3" s="31" t="s">
        <v>484</v>
      </c>
    </row>
    <row r="4" spans="1:20" x14ac:dyDescent="0.25">
      <c r="A4" s="9" t="s">
        <v>765</v>
      </c>
      <c r="B4" s="6" t="s">
        <v>11</v>
      </c>
      <c r="C4" s="6">
        <v>25</v>
      </c>
      <c r="D4" s="7">
        <v>27000000</v>
      </c>
      <c r="E4" s="38">
        <v>0.17499999999999999</v>
      </c>
      <c r="F4" s="7">
        <v>27000000</v>
      </c>
      <c r="G4" s="38">
        <v>0.16300000000000001</v>
      </c>
      <c r="H4" s="7">
        <v>24652174</v>
      </c>
      <c r="I4" s="38">
        <v>0.14099999999999999</v>
      </c>
      <c r="J4" s="7">
        <v>27000000</v>
      </c>
      <c r="K4" s="38">
        <v>0.14799999999999999</v>
      </c>
      <c r="L4" s="10" t="s">
        <v>766</v>
      </c>
      <c r="M4" s="40">
        <v>0.21099999999999999</v>
      </c>
      <c r="O4" s="32" t="s">
        <v>485</v>
      </c>
    </row>
    <row r="5" spans="1:20" x14ac:dyDescent="0.25">
      <c r="A5" s="9" t="s">
        <v>767</v>
      </c>
      <c r="B5" s="6" t="s">
        <v>10</v>
      </c>
      <c r="C5" s="6">
        <v>33</v>
      </c>
      <c r="D5" s="7">
        <v>19000000</v>
      </c>
      <c r="E5" s="38">
        <v>0.123</v>
      </c>
      <c r="F5" s="10" t="s">
        <v>102</v>
      </c>
      <c r="G5" s="40">
        <v>0.17199999999999999</v>
      </c>
      <c r="H5" s="6"/>
      <c r="I5" s="6"/>
      <c r="J5" s="6"/>
      <c r="K5" s="6"/>
      <c r="L5" s="6"/>
      <c r="M5" s="6"/>
      <c r="O5" s="33" t="s">
        <v>486</v>
      </c>
    </row>
    <row r="6" spans="1:20" x14ac:dyDescent="0.25">
      <c r="A6" s="9" t="s">
        <v>768</v>
      </c>
      <c r="B6" s="6" t="s">
        <v>14</v>
      </c>
      <c r="C6" s="6">
        <v>26</v>
      </c>
      <c r="D6" s="7">
        <v>17500000</v>
      </c>
      <c r="E6" s="38">
        <v>0.113</v>
      </c>
      <c r="F6" s="7">
        <v>17500000</v>
      </c>
      <c r="G6" s="38">
        <v>0.105</v>
      </c>
      <c r="H6" s="10" t="s">
        <v>168</v>
      </c>
      <c r="I6" s="40">
        <v>0.151</v>
      </c>
      <c r="J6" s="6"/>
      <c r="K6" s="6"/>
      <c r="L6" s="6"/>
      <c r="M6" s="6"/>
      <c r="O6" s="34" t="s">
        <v>487</v>
      </c>
    </row>
    <row r="7" spans="1:20" x14ac:dyDescent="0.25">
      <c r="A7" s="9" t="s">
        <v>769</v>
      </c>
      <c r="B7" s="6" t="s">
        <v>10</v>
      </c>
      <c r="C7" s="6">
        <v>34</v>
      </c>
      <c r="D7" s="7">
        <v>13445122</v>
      </c>
      <c r="E7" s="38">
        <v>8.6999999999999994E-2</v>
      </c>
      <c r="F7" s="10" t="s">
        <v>341</v>
      </c>
      <c r="G7" s="40">
        <v>0.154</v>
      </c>
      <c r="H7" s="6"/>
      <c r="I7" s="6"/>
      <c r="J7" s="6"/>
      <c r="K7" s="6"/>
      <c r="L7" s="6"/>
      <c r="M7" s="6"/>
    </row>
    <row r="8" spans="1:20" x14ac:dyDescent="0.25">
      <c r="A8" s="9" t="s">
        <v>770</v>
      </c>
      <c r="B8" s="6" t="s">
        <v>18</v>
      </c>
      <c r="C8" s="6">
        <v>22</v>
      </c>
      <c r="D8" s="7">
        <v>13376880</v>
      </c>
      <c r="E8" s="38">
        <v>8.5999999999999993E-2</v>
      </c>
      <c r="F8" s="7">
        <v>16868246</v>
      </c>
      <c r="G8" s="38">
        <v>0.10199999999999999</v>
      </c>
      <c r="H8" s="12" t="s">
        <v>771</v>
      </c>
      <c r="I8" s="42">
        <v>0.24199999999999999</v>
      </c>
      <c r="J8" s="6"/>
      <c r="K8" s="6"/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772</v>
      </c>
      <c r="B9" s="6" t="s">
        <v>25</v>
      </c>
      <c r="C9" s="6">
        <v>19</v>
      </c>
      <c r="D9" s="7">
        <v>12370320</v>
      </c>
      <c r="E9" s="38">
        <v>0.08</v>
      </c>
      <c r="F9" s="7">
        <v>12989040</v>
      </c>
      <c r="G9" s="38">
        <v>7.8E-2</v>
      </c>
      <c r="H9" s="13">
        <v>13607760</v>
      </c>
      <c r="I9" s="41">
        <v>7.8E-2</v>
      </c>
      <c r="J9" s="13">
        <v>17172994</v>
      </c>
      <c r="K9" s="41">
        <v>9.4E-2</v>
      </c>
      <c r="L9" s="12" t="s">
        <v>773</v>
      </c>
      <c r="M9" s="42">
        <v>0.223</v>
      </c>
      <c r="O9" t="s">
        <v>488</v>
      </c>
      <c r="P9" s="9" t="s">
        <v>764</v>
      </c>
      <c r="Q9" s="9" t="s">
        <v>776</v>
      </c>
      <c r="R9" s="9" t="s">
        <v>765</v>
      </c>
      <c r="S9" s="9" t="s">
        <v>767</v>
      </c>
      <c r="T9" s="9" t="s">
        <v>770</v>
      </c>
    </row>
    <row r="10" spans="1:20" x14ac:dyDescent="0.25">
      <c r="A10" s="9" t="s">
        <v>774</v>
      </c>
      <c r="B10" s="6" t="s">
        <v>18</v>
      </c>
      <c r="C10" s="6">
        <v>30</v>
      </c>
      <c r="D10" s="7">
        <v>11000000</v>
      </c>
      <c r="E10" s="38">
        <v>7.0999999999999994E-2</v>
      </c>
      <c r="F10" s="7">
        <v>10450000</v>
      </c>
      <c r="G10" s="38">
        <v>6.3E-2</v>
      </c>
      <c r="H10" s="7">
        <v>9900000</v>
      </c>
      <c r="I10" s="38">
        <v>5.7000000000000002E-2</v>
      </c>
      <c r="J10" s="13">
        <v>9350000</v>
      </c>
      <c r="K10" s="41">
        <v>5.0999999999999997E-2</v>
      </c>
      <c r="L10" s="10" t="s">
        <v>775</v>
      </c>
      <c r="M10" s="40">
        <v>9.1999999999999998E-2</v>
      </c>
      <c r="O10" t="s">
        <v>489</v>
      </c>
      <c r="P10" s="9" t="s">
        <v>783</v>
      </c>
      <c r="Q10" s="9" t="s">
        <v>772</v>
      </c>
      <c r="R10" s="9" t="s">
        <v>768</v>
      </c>
      <c r="S10" s="9" t="s">
        <v>778</v>
      </c>
      <c r="T10" s="9" t="s">
        <v>774</v>
      </c>
    </row>
    <row r="11" spans="1:20" x14ac:dyDescent="0.25">
      <c r="A11" s="9" t="s">
        <v>776</v>
      </c>
      <c r="B11" s="6" t="s">
        <v>25</v>
      </c>
      <c r="C11" s="6">
        <v>21</v>
      </c>
      <c r="D11" s="7">
        <v>9560520</v>
      </c>
      <c r="E11" s="38">
        <v>6.2E-2</v>
      </c>
      <c r="F11" s="7">
        <v>10015920</v>
      </c>
      <c r="G11" s="38">
        <v>0.06</v>
      </c>
      <c r="H11" s="13">
        <v>12670139</v>
      </c>
      <c r="I11" s="41">
        <v>7.2999999999999995E-2</v>
      </c>
      <c r="J11" s="12" t="s">
        <v>777</v>
      </c>
      <c r="K11" s="42">
        <v>0.20799999999999999</v>
      </c>
      <c r="L11" s="6"/>
      <c r="M11" s="6"/>
      <c r="O11" t="s">
        <v>490</v>
      </c>
      <c r="Q11" s="9"/>
      <c r="R11" s="9" t="s">
        <v>782</v>
      </c>
      <c r="S11" s="9" t="s">
        <v>780</v>
      </c>
      <c r="T11" s="9" t="s">
        <v>769</v>
      </c>
    </row>
    <row r="12" spans="1:20" x14ac:dyDescent="0.25">
      <c r="A12" s="9" t="s">
        <v>778</v>
      </c>
      <c r="B12" s="6" t="s">
        <v>10</v>
      </c>
      <c r="C12" s="6">
        <v>20</v>
      </c>
      <c r="D12" s="7">
        <v>4900320</v>
      </c>
      <c r="E12" s="38">
        <v>3.2000000000000001E-2</v>
      </c>
      <c r="F12" s="7">
        <v>5145360</v>
      </c>
      <c r="G12" s="38">
        <v>3.1E-2</v>
      </c>
      <c r="H12" s="13">
        <v>5390640</v>
      </c>
      <c r="I12" s="41">
        <v>3.1E-2</v>
      </c>
      <c r="J12" s="13">
        <v>7983539</v>
      </c>
      <c r="K12" s="41">
        <v>4.3999999999999997E-2</v>
      </c>
      <c r="L12" s="12" t="s">
        <v>779</v>
      </c>
      <c r="M12" s="42">
        <v>0.125</v>
      </c>
      <c r="R12" s="9" t="s">
        <v>786</v>
      </c>
      <c r="T12" s="9" t="s">
        <v>784</v>
      </c>
    </row>
    <row r="13" spans="1:20" x14ac:dyDescent="0.25">
      <c r="A13" s="9" t="s">
        <v>780</v>
      </c>
      <c r="B13" s="6" t="s">
        <v>14</v>
      </c>
      <c r="C13" s="6">
        <v>24</v>
      </c>
      <c r="D13" s="7">
        <v>3000000</v>
      </c>
      <c r="E13" s="38">
        <v>1.9E-2</v>
      </c>
      <c r="F13" s="13">
        <v>3000000</v>
      </c>
      <c r="G13" s="41">
        <v>1.7999999999999999E-2</v>
      </c>
      <c r="H13" s="10" t="s">
        <v>781</v>
      </c>
      <c r="I13" s="40">
        <v>3.3000000000000002E-2</v>
      </c>
      <c r="J13" s="6"/>
      <c r="K13" s="6"/>
      <c r="L13" s="6"/>
      <c r="M13" s="6"/>
      <c r="R13" s="9" t="s">
        <v>787</v>
      </c>
      <c r="T13" s="9" t="s">
        <v>785</v>
      </c>
    </row>
    <row r="14" spans="1:20" x14ac:dyDescent="0.25">
      <c r="A14" s="9" t="s">
        <v>782</v>
      </c>
      <c r="B14" s="6" t="s">
        <v>14</v>
      </c>
      <c r="C14" s="6">
        <v>28</v>
      </c>
      <c r="D14" s="7">
        <v>2296274</v>
      </c>
      <c r="E14" s="38">
        <v>1.4999999999999999E-2</v>
      </c>
      <c r="F14" s="10" t="s">
        <v>57</v>
      </c>
      <c r="G14" s="40">
        <v>1.4999999999999999E-2</v>
      </c>
      <c r="H14" s="6"/>
      <c r="I14" s="6"/>
      <c r="J14" s="6"/>
      <c r="K14" s="6"/>
      <c r="L14" s="6"/>
      <c r="M14" s="6"/>
      <c r="R14" s="9" t="s">
        <v>788</v>
      </c>
    </row>
    <row r="15" spans="1:20" x14ac:dyDescent="0.25">
      <c r="A15" s="9" t="s">
        <v>783</v>
      </c>
      <c r="B15" s="6" t="s">
        <v>25</v>
      </c>
      <c r="C15" s="6">
        <v>29</v>
      </c>
      <c r="D15" s="7">
        <v>2296274</v>
      </c>
      <c r="E15" s="38">
        <v>1.4999999999999999E-2</v>
      </c>
      <c r="F15" s="10" t="s">
        <v>57</v>
      </c>
      <c r="G15" s="40">
        <v>1.4999999999999999E-2</v>
      </c>
      <c r="H15" s="6"/>
      <c r="I15" s="6"/>
      <c r="J15" s="6"/>
      <c r="K15" s="6"/>
      <c r="L15" s="6"/>
      <c r="M15" s="6"/>
    </row>
    <row r="16" spans="1:20" x14ac:dyDescent="0.25">
      <c r="A16" s="9" t="s">
        <v>784</v>
      </c>
      <c r="B16" s="6" t="s">
        <v>18</v>
      </c>
      <c r="C16" s="6">
        <v>33</v>
      </c>
      <c r="D16" s="7">
        <v>2296274</v>
      </c>
      <c r="E16" s="38">
        <v>1.4999999999999999E-2</v>
      </c>
      <c r="F16" s="10" t="s">
        <v>57</v>
      </c>
      <c r="G16" s="40">
        <v>1.4999999999999999E-2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785</v>
      </c>
      <c r="B17" s="6" t="s">
        <v>18</v>
      </c>
      <c r="C17" s="6">
        <v>35</v>
      </c>
      <c r="D17" s="7">
        <v>593864</v>
      </c>
      <c r="E17" s="38">
        <v>4.0000000000000001E-3</v>
      </c>
      <c r="F17" s="10" t="s">
        <v>57</v>
      </c>
      <c r="G17" s="40">
        <v>1.4999999999999999E-2</v>
      </c>
      <c r="H17" s="6"/>
      <c r="I17" s="6"/>
      <c r="J17" s="6"/>
      <c r="K17" s="6"/>
      <c r="L17" s="6"/>
      <c r="M17" s="6"/>
    </row>
    <row r="18" spans="1:13" x14ac:dyDescent="0.25">
      <c r="A18" s="9" t="s">
        <v>786</v>
      </c>
      <c r="B18" s="6" t="s">
        <v>14</v>
      </c>
      <c r="C18" s="6">
        <v>25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787</v>
      </c>
      <c r="B19" s="6" t="s">
        <v>14</v>
      </c>
      <c r="C19" s="6">
        <v>24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788</v>
      </c>
      <c r="B20" s="6" t="s">
        <v>14</v>
      </c>
      <c r="C20" s="6">
        <v>23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175732468</v>
      </c>
      <c r="E23" s="29"/>
      <c r="F23" s="16">
        <f>SUM(F3:F4,F6,F8:F12)</f>
        <v>149768566</v>
      </c>
      <c r="G23" s="17"/>
      <c r="H23" s="16">
        <f>SUM(H3:H4,H10)</f>
        <v>88336174</v>
      </c>
      <c r="I23" s="17"/>
      <c r="J23" s="16">
        <f>SUM(J3:J4)</f>
        <v>84768000</v>
      </c>
      <c r="K23" s="17"/>
      <c r="L23" s="16">
        <f>SUM(L3)</f>
        <v>61752000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175732468</v>
      </c>
      <c r="E24" s="17"/>
      <c r="F24" s="16">
        <f>F23+E31*7</f>
        <v>159577463</v>
      </c>
      <c r="G24" s="17"/>
      <c r="H24" s="16">
        <f>H23+E32*12</f>
        <v>106832951.2</v>
      </c>
      <c r="I24" s="17"/>
      <c r="J24" s="16">
        <f>J23+E33*13</f>
        <v>106809992.83</v>
      </c>
      <c r="K24" s="16"/>
      <c r="L24" s="16">
        <f>L23+E34*14</f>
        <v>87863283.81400001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175732468</v>
      </c>
      <c r="E25" s="17"/>
      <c r="F25" s="16">
        <f>F23+F13</f>
        <v>152768566</v>
      </c>
      <c r="G25" s="17"/>
      <c r="H25" s="16">
        <f>H23+H9+H11+H12</f>
        <v>120004713</v>
      </c>
      <c r="I25" s="17"/>
      <c r="J25" s="16">
        <f>J23+J9+J10+J12</f>
        <v>119274533</v>
      </c>
      <c r="K25" s="17"/>
      <c r="L25" s="16">
        <f>L23</f>
        <v>61752000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-21085468</v>
      </c>
      <c r="E28" s="16"/>
      <c r="F28" s="16">
        <f>F26-F24</f>
        <v>5422537</v>
      </c>
      <c r="G28" s="16"/>
      <c r="H28" s="16">
        <f>H26-H24</f>
        <v>66417048.799999997</v>
      </c>
      <c r="I28" s="16"/>
      <c r="J28" s="16">
        <f>J26-J24</f>
        <v>75103007.170000002</v>
      </c>
      <c r="K28" s="16"/>
      <c r="L28" s="16">
        <f>L26-L24</f>
        <v>103145716.18599999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12162532</v>
      </c>
      <c r="E29" s="16"/>
      <c r="F29" s="16">
        <f>F27-F24</f>
        <v>40422537</v>
      </c>
      <c r="G29" s="16"/>
      <c r="H29" s="16">
        <f>H27-H24</f>
        <v>103666048.8</v>
      </c>
      <c r="I29" s="16"/>
      <c r="J29" s="16">
        <f>J27-J24</f>
        <v>114214007.17</v>
      </c>
      <c r="K29" s="16"/>
      <c r="L29" s="16">
        <f>L27-L24</f>
        <v>144212716.18599999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4B2-1B30-4103-A6EC-6FD0532671EF}">
  <dimension ref="A1:T40"/>
  <sheetViews>
    <sheetView workbookViewId="0">
      <pane ySplit="2" topLeftCell="A3" activePane="bottomLeft" state="frozen"/>
      <selection pane="bottomLeft" activeCell="O20" sqref="O20"/>
    </sheetView>
  </sheetViews>
  <sheetFormatPr defaultRowHeight="15" x14ac:dyDescent="0.25"/>
  <cols>
    <col min="1" max="1" width="22.140625" style="91" bestFit="1" customWidth="1"/>
    <col min="2" max="3" width="4.28515625" style="91" bestFit="1" customWidth="1"/>
    <col min="4" max="4" width="13.7109375" style="91" bestFit="1" customWidth="1"/>
    <col min="5" max="5" width="11.5703125" style="91" bestFit="1" customWidth="1"/>
    <col min="6" max="6" width="14.5703125" style="91" bestFit="1" customWidth="1"/>
    <col min="7" max="7" width="9.7109375" style="91" bestFit="1" customWidth="1"/>
    <col min="8" max="8" width="13.7109375" style="91" bestFit="1" customWidth="1"/>
    <col min="9" max="9" width="9.7109375" style="91" bestFit="1" customWidth="1"/>
    <col min="10" max="10" width="13.7109375" style="91" bestFit="1" customWidth="1"/>
    <col min="11" max="11" width="9.7109375" style="91" bestFit="1" customWidth="1"/>
    <col min="12" max="12" width="13.7109375" style="91" bestFit="1" customWidth="1"/>
    <col min="13" max="13" width="9.7109375" style="91" bestFit="1" customWidth="1"/>
    <col min="14" max="14" width="9.140625" style="91"/>
    <col min="15" max="15" width="13.28515625" style="91" bestFit="1" customWidth="1"/>
    <col min="16" max="16" width="18.5703125" style="91" bestFit="1" customWidth="1"/>
    <col min="17" max="17" width="14.7109375" style="91" bestFit="1" customWidth="1"/>
    <col min="18" max="18" width="15.140625" style="91" bestFit="1" customWidth="1"/>
    <col min="19" max="19" width="20" style="91" bestFit="1" customWidth="1"/>
    <col min="20" max="20" width="22.140625" style="91" bestFit="1" customWidth="1"/>
    <col min="21" max="16384" width="9.140625" style="91"/>
  </cols>
  <sheetData>
    <row r="1" spans="1:20" ht="15.75" customHeight="1" x14ac:dyDescent="0.25">
      <c r="A1" s="75" t="s">
        <v>789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ht="15.75" customHeight="1" x14ac:dyDescent="0.25">
      <c r="A2" s="92" t="s">
        <v>1</v>
      </c>
      <c r="B2" s="92" t="s">
        <v>2</v>
      </c>
      <c r="C2" s="92" t="s">
        <v>3</v>
      </c>
      <c r="D2" s="92" t="s">
        <v>4</v>
      </c>
      <c r="E2" s="92" t="s">
        <v>396</v>
      </c>
      <c r="F2" s="92" t="s">
        <v>5</v>
      </c>
      <c r="G2" s="92" t="s">
        <v>397</v>
      </c>
      <c r="H2" s="92" t="s">
        <v>6</v>
      </c>
      <c r="I2" s="92" t="s">
        <v>398</v>
      </c>
      <c r="J2" s="92" t="s">
        <v>7</v>
      </c>
      <c r="K2" s="92" t="s">
        <v>399</v>
      </c>
      <c r="L2" s="92" t="s">
        <v>8</v>
      </c>
      <c r="M2" s="92" t="s">
        <v>400</v>
      </c>
      <c r="N2" s="90"/>
    </row>
    <row r="3" spans="1:20" ht="15.75" customHeight="1" x14ac:dyDescent="0.25">
      <c r="A3" s="92" t="s">
        <v>380</v>
      </c>
      <c r="B3" s="93" t="s">
        <v>10</v>
      </c>
      <c r="C3" s="93">
        <v>24</v>
      </c>
      <c r="D3" s="94">
        <v>38661750</v>
      </c>
      <c r="E3" s="95">
        <v>0.25</v>
      </c>
      <c r="F3" s="94">
        <v>41754690</v>
      </c>
      <c r="G3" s="95">
        <v>0.252</v>
      </c>
      <c r="H3" s="94">
        <v>44847630</v>
      </c>
      <c r="I3" s="95">
        <v>0.25700000000000001</v>
      </c>
      <c r="J3" s="94">
        <v>47940570</v>
      </c>
      <c r="K3" s="95">
        <v>0.26200000000000001</v>
      </c>
      <c r="L3" s="94">
        <v>51033510</v>
      </c>
      <c r="M3" s="95">
        <v>0.26600000000000001</v>
      </c>
      <c r="N3" s="90"/>
      <c r="O3" s="31" t="s">
        <v>484</v>
      </c>
      <c r="P3"/>
      <c r="Q3"/>
      <c r="R3"/>
      <c r="S3"/>
      <c r="T3"/>
    </row>
    <row r="4" spans="1:20" ht="15.75" customHeight="1" x14ac:dyDescent="0.25">
      <c r="A4" s="92" t="s">
        <v>381</v>
      </c>
      <c r="B4" s="93" t="s">
        <v>14</v>
      </c>
      <c r="C4" s="93">
        <v>28</v>
      </c>
      <c r="D4" s="94">
        <v>38095238</v>
      </c>
      <c r="E4" s="95">
        <v>0.246</v>
      </c>
      <c r="F4" s="94">
        <v>40000000</v>
      </c>
      <c r="G4" s="95">
        <v>0.24099999999999999</v>
      </c>
      <c r="H4" s="102">
        <v>41904762</v>
      </c>
      <c r="I4" s="103">
        <v>0.24</v>
      </c>
      <c r="J4" s="96" t="s">
        <v>790</v>
      </c>
      <c r="K4" s="97">
        <v>0.29799999999999999</v>
      </c>
      <c r="L4" s="93"/>
      <c r="M4" s="93"/>
      <c r="N4" s="90"/>
      <c r="O4" s="32" t="s">
        <v>485</v>
      </c>
      <c r="P4"/>
      <c r="Q4"/>
      <c r="R4"/>
      <c r="S4"/>
      <c r="T4"/>
    </row>
    <row r="5" spans="1:20" ht="15.75" customHeight="1" x14ac:dyDescent="0.25">
      <c r="A5" s="92" t="s">
        <v>382</v>
      </c>
      <c r="B5" s="93" t="s">
        <v>25</v>
      </c>
      <c r="C5" s="93">
        <v>26</v>
      </c>
      <c r="D5" s="94">
        <v>32500000</v>
      </c>
      <c r="E5" s="95">
        <v>0.21</v>
      </c>
      <c r="F5" s="94">
        <v>32500000</v>
      </c>
      <c r="G5" s="95">
        <v>0.19600000000000001</v>
      </c>
      <c r="H5" s="94">
        <v>32500000</v>
      </c>
      <c r="I5" s="95">
        <v>0.186</v>
      </c>
      <c r="J5" s="94">
        <v>32500000</v>
      </c>
      <c r="K5" s="95">
        <v>0.17799999999999999</v>
      </c>
      <c r="L5" s="96" t="s">
        <v>791</v>
      </c>
      <c r="M5" s="97">
        <v>0.27300000000000002</v>
      </c>
      <c r="N5" s="90"/>
      <c r="O5" s="33" t="s">
        <v>486</v>
      </c>
      <c r="P5"/>
      <c r="Q5"/>
      <c r="R5"/>
      <c r="S5"/>
      <c r="T5"/>
    </row>
    <row r="6" spans="1:20" ht="15.75" customHeight="1" x14ac:dyDescent="0.25">
      <c r="A6" s="92" t="s">
        <v>383</v>
      </c>
      <c r="B6" s="93" t="s">
        <v>11</v>
      </c>
      <c r="C6" s="93">
        <v>25</v>
      </c>
      <c r="D6" s="94">
        <v>27705357</v>
      </c>
      <c r="E6" s="95">
        <v>0.17899999999999999</v>
      </c>
      <c r="F6" s="94">
        <v>29616071</v>
      </c>
      <c r="G6" s="95">
        <v>0.17799999999999999</v>
      </c>
      <c r="H6" s="96" t="s">
        <v>792</v>
      </c>
      <c r="I6" s="97">
        <v>0.255</v>
      </c>
      <c r="J6" s="93"/>
      <c r="K6" s="93"/>
      <c r="L6" s="93"/>
      <c r="M6" s="93"/>
      <c r="N6" s="90"/>
      <c r="O6" s="34" t="s">
        <v>487</v>
      </c>
      <c r="P6"/>
      <c r="Q6"/>
      <c r="R6"/>
      <c r="S6"/>
      <c r="T6"/>
    </row>
    <row r="7" spans="1:20" ht="15.75" customHeight="1" x14ac:dyDescent="0.25">
      <c r="A7" s="92" t="s">
        <v>384</v>
      </c>
      <c r="B7" s="93" t="s">
        <v>18</v>
      </c>
      <c r="C7" s="93">
        <v>30</v>
      </c>
      <c r="D7" s="94">
        <v>19500000</v>
      </c>
      <c r="E7" s="95">
        <v>0.126</v>
      </c>
      <c r="F7" s="94">
        <v>19500000</v>
      </c>
      <c r="G7" s="95">
        <v>0.11700000000000001</v>
      </c>
      <c r="H7" s="94">
        <v>27300000</v>
      </c>
      <c r="I7" s="95">
        <v>0.157</v>
      </c>
      <c r="J7" s="94">
        <v>29484000</v>
      </c>
      <c r="K7" s="95">
        <v>0.161</v>
      </c>
      <c r="L7" s="94">
        <v>27300000</v>
      </c>
      <c r="M7" s="95">
        <v>0.14199999999999999</v>
      </c>
      <c r="N7" s="90"/>
      <c r="O7"/>
      <c r="P7"/>
      <c r="Q7"/>
      <c r="R7"/>
      <c r="S7"/>
      <c r="T7"/>
    </row>
    <row r="8" spans="1:20" ht="15.75" customHeight="1" x14ac:dyDescent="0.25">
      <c r="A8" s="92" t="s">
        <v>386</v>
      </c>
      <c r="B8" s="93" t="s">
        <v>10</v>
      </c>
      <c r="C8" s="93">
        <v>20</v>
      </c>
      <c r="D8" s="94">
        <v>6332520</v>
      </c>
      <c r="E8" s="95">
        <v>4.1000000000000002E-2</v>
      </c>
      <c r="F8" s="94">
        <v>6649560</v>
      </c>
      <c r="G8" s="95">
        <v>0.04</v>
      </c>
      <c r="H8" s="100">
        <v>6966000</v>
      </c>
      <c r="I8" s="101">
        <v>0.04</v>
      </c>
      <c r="J8" s="100">
        <v>8874684</v>
      </c>
      <c r="K8" s="101">
        <v>4.8000000000000001E-2</v>
      </c>
      <c r="L8" s="98" t="s">
        <v>793</v>
      </c>
      <c r="M8" s="99">
        <v>0.13900000000000001</v>
      </c>
      <c r="N8" s="90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ht="15.75" customHeight="1" x14ac:dyDescent="0.25">
      <c r="A9" s="92" t="s">
        <v>387</v>
      </c>
      <c r="B9" s="93" t="s">
        <v>11</v>
      </c>
      <c r="C9" s="93">
        <v>22</v>
      </c>
      <c r="D9" s="94">
        <v>4990560</v>
      </c>
      <c r="E9" s="95">
        <v>3.2000000000000001E-2</v>
      </c>
      <c r="F9" s="94">
        <v>7131511</v>
      </c>
      <c r="G9" s="95">
        <v>4.2999999999999997E-2</v>
      </c>
      <c r="H9" s="98" t="s">
        <v>369</v>
      </c>
      <c r="I9" s="99">
        <v>0.123</v>
      </c>
      <c r="J9" s="93"/>
      <c r="K9" s="93"/>
      <c r="L9" s="93"/>
      <c r="M9" s="93"/>
      <c r="N9" s="90"/>
      <c r="O9" t="s">
        <v>488</v>
      </c>
      <c r="P9" s="92" t="s">
        <v>382</v>
      </c>
      <c r="Q9" s="92" t="s">
        <v>383</v>
      </c>
      <c r="R9" s="92" t="s">
        <v>381</v>
      </c>
      <c r="S9" s="92" t="s">
        <v>380</v>
      </c>
      <c r="T9" s="92" t="s">
        <v>384</v>
      </c>
    </row>
    <row r="10" spans="1:20" ht="15.75" customHeight="1" x14ac:dyDescent="0.25">
      <c r="A10" s="92" t="s">
        <v>794</v>
      </c>
      <c r="B10" s="93" t="s">
        <v>11</v>
      </c>
      <c r="C10" s="93">
        <v>21</v>
      </c>
      <c r="D10" s="94">
        <v>3638160</v>
      </c>
      <c r="E10" s="95">
        <v>2.4E-2</v>
      </c>
      <c r="F10" s="94">
        <v>3811800</v>
      </c>
      <c r="G10" s="95">
        <v>2.3E-2</v>
      </c>
      <c r="H10" s="100">
        <v>5870172</v>
      </c>
      <c r="I10" s="101">
        <v>3.4000000000000002E-2</v>
      </c>
      <c r="J10" s="98" t="s">
        <v>795</v>
      </c>
      <c r="K10" s="99">
        <v>9.6000000000000002E-2</v>
      </c>
      <c r="L10" s="93"/>
      <c r="M10" s="93"/>
      <c r="N10" s="90"/>
      <c r="O10" t="s">
        <v>489</v>
      </c>
      <c r="P10" s="92" t="s">
        <v>391</v>
      </c>
      <c r="Q10" s="92" t="s">
        <v>794</v>
      </c>
      <c r="R10" s="92" t="s">
        <v>387</v>
      </c>
      <c r="S10" s="92" t="s">
        <v>386</v>
      </c>
      <c r="T10" s="92" t="s">
        <v>388</v>
      </c>
    </row>
    <row r="11" spans="1:20" ht="15.75" customHeight="1" x14ac:dyDescent="0.25">
      <c r="A11" s="92" t="s">
        <v>388</v>
      </c>
      <c r="B11" s="93" t="s">
        <v>18</v>
      </c>
      <c r="C11" s="93">
        <v>26</v>
      </c>
      <c r="D11" s="94">
        <v>2461463</v>
      </c>
      <c r="E11" s="95">
        <v>1.6E-2</v>
      </c>
      <c r="F11" s="102">
        <v>2801346</v>
      </c>
      <c r="G11" s="103">
        <v>1.7000000000000001E-2</v>
      </c>
      <c r="H11" s="96" t="s">
        <v>375</v>
      </c>
      <c r="I11" s="97">
        <v>1.6E-2</v>
      </c>
      <c r="J11" s="93"/>
      <c r="K11" s="93"/>
      <c r="L11" s="93"/>
      <c r="M11" s="93"/>
      <c r="N11" s="90"/>
      <c r="O11" t="s">
        <v>490</v>
      </c>
      <c r="P11" s="92" t="s">
        <v>394</v>
      </c>
      <c r="Q11" s="92" t="s">
        <v>393</v>
      </c>
      <c r="R11" s="92" t="s">
        <v>392</v>
      </c>
      <c r="S11" s="92" t="s">
        <v>390</v>
      </c>
      <c r="T11" s="92" t="s">
        <v>796</v>
      </c>
    </row>
    <row r="12" spans="1:20" ht="15.75" customHeight="1" x14ac:dyDescent="0.25">
      <c r="A12" s="92" t="s">
        <v>389</v>
      </c>
      <c r="B12" s="93" t="s">
        <v>11</v>
      </c>
      <c r="C12" s="93">
        <v>39</v>
      </c>
      <c r="D12" s="94">
        <v>2296274</v>
      </c>
      <c r="E12" s="95">
        <v>1.4999999999999999E-2</v>
      </c>
      <c r="F12" s="96" t="s">
        <v>57</v>
      </c>
      <c r="G12" s="97">
        <v>1.4999999999999999E-2</v>
      </c>
      <c r="H12" s="93"/>
      <c r="I12" s="93"/>
      <c r="J12" s="93"/>
      <c r="K12" s="93"/>
      <c r="L12" s="93"/>
      <c r="M12" s="93"/>
      <c r="N12" s="90"/>
      <c r="Q12" s="92" t="s">
        <v>389</v>
      </c>
      <c r="R12" s="92" t="s">
        <v>797</v>
      </c>
    </row>
    <row r="13" spans="1:20" ht="15.75" customHeight="1" x14ac:dyDescent="0.25">
      <c r="A13" s="92" t="s">
        <v>796</v>
      </c>
      <c r="B13" s="93" t="s">
        <v>10</v>
      </c>
      <c r="C13" s="93">
        <v>25</v>
      </c>
      <c r="D13" s="94">
        <v>2221677</v>
      </c>
      <c r="E13" s="95">
        <v>1.4E-2</v>
      </c>
      <c r="F13" s="100">
        <v>2406205</v>
      </c>
      <c r="G13" s="101">
        <v>1.4E-2</v>
      </c>
      <c r="H13" s="96" t="s">
        <v>32</v>
      </c>
      <c r="I13" s="97">
        <v>1.7000000000000001E-2</v>
      </c>
      <c r="J13" s="93"/>
      <c r="K13" s="93"/>
      <c r="L13" s="93"/>
      <c r="M13" s="93"/>
      <c r="N13" s="90"/>
    </row>
    <row r="14" spans="1:20" ht="15.75" customHeight="1" x14ac:dyDescent="0.25">
      <c r="A14" s="92" t="s">
        <v>391</v>
      </c>
      <c r="B14" s="93" t="s">
        <v>25</v>
      </c>
      <c r="C14" s="93">
        <v>23</v>
      </c>
      <c r="D14" s="94">
        <v>1955377</v>
      </c>
      <c r="E14" s="95">
        <v>1.2999999999999999E-2</v>
      </c>
      <c r="F14" s="100">
        <v>2296271</v>
      </c>
      <c r="G14" s="101">
        <v>1.4E-2</v>
      </c>
      <c r="H14" s="98" t="s">
        <v>377</v>
      </c>
      <c r="I14" s="99">
        <v>1.7999999999999999E-2</v>
      </c>
      <c r="J14" s="93"/>
      <c r="K14" s="93"/>
      <c r="L14" s="93"/>
      <c r="M14" s="93"/>
      <c r="N14" s="90"/>
    </row>
    <row r="15" spans="1:20" ht="15.75" customHeight="1" x14ac:dyDescent="0.25">
      <c r="A15" s="92" t="s">
        <v>390</v>
      </c>
      <c r="B15" s="93" t="s">
        <v>18</v>
      </c>
      <c r="C15" s="93">
        <v>24</v>
      </c>
      <c r="D15" s="94">
        <v>1955377</v>
      </c>
      <c r="E15" s="95">
        <v>1.2999999999999999E-2</v>
      </c>
      <c r="F15" s="100">
        <v>2296271</v>
      </c>
      <c r="G15" s="101">
        <v>1.4E-2</v>
      </c>
      <c r="H15" s="98" t="s">
        <v>377</v>
      </c>
      <c r="I15" s="99">
        <v>1.7999999999999999E-2</v>
      </c>
      <c r="J15" s="93"/>
      <c r="K15" s="93"/>
      <c r="L15" s="93"/>
      <c r="M15" s="93"/>
      <c r="N15" s="90"/>
    </row>
    <row r="16" spans="1:20" ht="15.75" customHeight="1" x14ac:dyDescent="0.25">
      <c r="A16" s="92" t="s">
        <v>392</v>
      </c>
      <c r="B16" s="93" t="s">
        <v>14</v>
      </c>
      <c r="C16" s="93">
        <v>24</v>
      </c>
      <c r="D16" s="94">
        <v>1955377</v>
      </c>
      <c r="E16" s="95">
        <v>1.2999999999999999E-2</v>
      </c>
      <c r="F16" s="94">
        <v>2296271</v>
      </c>
      <c r="G16" s="95">
        <v>1.4E-2</v>
      </c>
      <c r="H16" s="98" t="s">
        <v>377</v>
      </c>
      <c r="I16" s="99">
        <v>1.7999999999999999E-2</v>
      </c>
      <c r="J16" s="93"/>
      <c r="K16" s="93"/>
      <c r="L16" s="93"/>
      <c r="M16" s="93"/>
      <c r="N16" s="90"/>
    </row>
    <row r="17" spans="1:14" ht="15" customHeight="1" x14ac:dyDescent="0.25">
      <c r="A17" s="92" t="s">
        <v>393</v>
      </c>
      <c r="B17" s="93" t="s">
        <v>11</v>
      </c>
      <c r="C17" s="93">
        <v>24</v>
      </c>
      <c r="D17" s="93" t="s">
        <v>63</v>
      </c>
      <c r="E17" s="93"/>
      <c r="F17" s="98" t="s">
        <v>64</v>
      </c>
      <c r="G17" s="99">
        <v>1.2999999999999999E-2</v>
      </c>
      <c r="H17" s="93"/>
      <c r="I17" s="93"/>
      <c r="J17" s="93"/>
      <c r="K17" s="93"/>
      <c r="L17" s="93"/>
      <c r="M17" s="93"/>
      <c r="N17" s="90"/>
    </row>
    <row r="18" spans="1:14" ht="15.75" customHeight="1" x14ac:dyDescent="0.25">
      <c r="A18" s="92" t="s">
        <v>797</v>
      </c>
      <c r="B18" s="93" t="s">
        <v>82</v>
      </c>
      <c r="C18" s="93">
        <v>25</v>
      </c>
      <c r="D18" s="93" t="s">
        <v>63</v>
      </c>
      <c r="E18" s="93"/>
      <c r="F18" s="98" t="s">
        <v>64</v>
      </c>
      <c r="G18" s="99">
        <v>1.2999999999999999E-2</v>
      </c>
      <c r="H18" s="93"/>
      <c r="I18" s="93"/>
      <c r="J18" s="93"/>
      <c r="K18" s="93"/>
      <c r="L18" s="93"/>
      <c r="M18" s="93"/>
      <c r="N18" s="90"/>
    </row>
    <row r="19" spans="1:14" ht="15.75" customHeight="1" x14ac:dyDescent="0.25">
      <c r="A19" s="92" t="s">
        <v>394</v>
      </c>
      <c r="B19" s="93" t="s">
        <v>29</v>
      </c>
      <c r="C19" s="93">
        <v>22</v>
      </c>
      <c r="D19" s="93" t="s">
        <v>63</v>
      </c>
      <c r="E19" s="93"/>
      <c r="F19" s="98" t="s">
        <v>64</v>
      </c>
      <c r="G19" s="99">
        <v>1.2999999999999999E-2</v>
      </c>
      <c r="H19" s="93"/>
      <c r="I19" s="93"/>
      <c r="J19" s="93"/>
      <c r="K19" s="93"/>
      <c r="L19" s="93"/>
      <c r="M19" s="93"/>
      <c r="N19" s="90"/>
    </row>
    <row r="20" spans="1:14" ht="15.75" customHeight="1" x14ac:dyDescent="0.25"/>
    <row r="21" spans="1:14" ht="15" customHeight="1" x14ac:dyDescent="0.25"/>
    <row r="22" spans="1:14" ht="15.75" customHeight="1" x14ac:dyDescent="0.25">
      <c r="A22" s="76" t="s">
        <v>65</v>
      </c>
      <c r="B22" s="76"/>
      <c r="C22" s="76"/>
      <c r="D22" s="16">
        <f>SUM(D2:D16)</f>
        <v>184269130</v>
      </c>
      <c r="E22" s="29"/>
      <c r="F22" s="16">
        <f>SUM(F3:F10,F16)</f>
        <v>183259903</v>
      </c>
      <c r="G22" s="17"/>
      <c r="H22" s="16">
        <f>SUM(H3,H5,H7)</f>
        <v>104647630</v>
      </c>
      <c r="I22" s="17"/>
      <c r="J22" s="16">
        <f>SUM(J3+J5+J7)</f>
        <v>109924570</v>
      </c>
      <c r="K22" s="17"/>
      <c r="L22" s="16">
        <f>SUM(L3,L7)</f>
        <v>78333510</v>
      </c>
      <c r="M22" s="3" t="s">
        <v>479</v>
      </c>
    </row>
    <row r="23" spans="1:14" ht="15" customHeight="1" x14ac:dyDescent="0.25">
      <c r="A23" s="71" t="s">
        <v>66</v>
      </c>
      <c r="B23" s="72"/>
      <c r="C23" s="73"/>
      <c r="D23" s="16">
        <f>D22</f>
        <v>184269130</v>
      </c>
      <c r="E23" s="17"/>
      <c r="F23" s="16">
        <f>F22+E30*5</f>
        <v>190266258</v>
      </c>
      <c r="G23" s="17"/>
      <c r="H23" s="16">
        <f>H22+E31*12</f>
        <v>123144407.2</v>
      </c>
      <c r="I23" s="17"/>
      <c r="J23" s="16">
        <f>J22+E32*12</f>
        <v>130271024.92</v>
      </c>
      <c r="K23" s="16"/>
      <c r="L23" s="16">
        <f>L22+E33*13</f>
        <v>102579702.11300001</v>
      </c>
      <c r="M23" s="3" t="s">
        <v>480</v>
      </c>
    </row>
    <row r="24" spans="1:14" ht="15" customHeight="1" x14ac:dyDescent="0.25">
      <c r="A24" s="71" t="s">
        <v>67</v>
      </c>
      <c r="B24" s="72"/>
      <c r="C24" s="73"/>
      <c r="D24" s="16">
        <f>D23</f>
        <v>184269130</v>
      </c>
      <c r="E24" s="17"/>
      <c r="F24" s="16">
        <f>F22+F11+F13+F14+F15</f>
        <v>193059996</v>
      </c>
      <c r="G24" s="17"/>
      <c r="H24" s="16">
        <f>H22+H4+H8+H10</f>
        <v>159388564</v>
      </c>
      <c r="I24" s="17"/>
      <c r="J24" s="16">
        <f>J22+J8</f>
        <v>118799254</v>
      </c>
      <c r="K24" s="17"/>
      <c r="L24" s="16">
        <f>L22</f>
        <v>78333510</v>
      </c>
      <c r="M24" s="3" t="s">
        <v>481</v>
      </c>
    </row>
    <row r="25" spans="1:14" ht="15" customHeight="1" x14ac:dyDescent="0.25">
      <c r="A25" s="71" t="s">
        <v>68</v>
      </c>
      <c r="B25" s="72"/>
      <c r="C25" s="73"/>
      <c r="D25" s="16">
        <v>154647000</v>
      </c>
      <c r="E25" s="17"/>
      <c r="F25" s="16">
        <v>165000000</v>
      </c>
      <c r="G25" s="17"/>
      <c r="H25" s="16">
        <v>173250000</v>
      </c>
      <c r="I25" s="17"/>
      <c r="J25" s="16">
        <v>181913000</v>
      </c>
      <c r="K25" s="17"/>
      <c r="L25" s="16">
        <v>191009000</v>
      </c>
      <c r="M25" s="3"/>
    </row>
    <row r="26" spans="1:14" ht="15" customHeight="1" x14ac:dyDescent="0.25">
      <c r="A26" s="71" t="s">
        <v>69</v>
      </c>
      <c r="B26" s="72"/>
      <c r="C26" s="73"/>
      <c r="D26" s="16">
        <v>187895000</v>
      </c>
      <c r="E26" s="17"/>
      <c r="F26" s="29">
        <v>200000000</v>
      </c>
      <c r="G26" s="17"/>
      <c r="H26" s="16">
        <v>210499000</v>
      </c>
      <c r="I26" s="17"/>
      <c r="J26" s="16">
        <v>221024000</v>
      </c>
      <c r="K26" s="17"/>
      <c r="L26" s="16">
        <v>232076000</v>
      </c>
      <c r="M26" s="3"/>
    </row>
    <row r="27" spans="1:14" ht="15" customHeight="1" x14ac:dyDescent="0.25">
      <c r="A27" s="71" t="s">
        <v>70</v>
      </c>
      <c r="B27" s="72"/>
      <c r="C27" s="73"/>
      <c r="D27" s="16">
        <f>D25-D23</f>
        <v>-29622130</v>
      </c>
      <c r="E27" s="16"/>
      <c r="F27" s="16">
        <f>F25-F23</f>
        <v>-25266258</v>
      </c>
      <c r="G27" s="16"/>
      <c r="H27" s="16">
        <f>H25-H23</f>
        <v>50105592.799999997</v>
      </c>
      <c r="I27" s="16"/>
      <c r="J27" s="16">
        <f>J25-J23</f>
        <v>51641975.079999998</v>
      </c>
      <c r="K27" s="16"/>
      <c r="L27" s="16">
        <f>L25-L23</f>
        <v>88429297.886999995</v>
      </c>
      <c r="M27" s="3" t="s">
        <v>482</v>
      </c>
    </row>
    <row r="28" spans="1:14" ht="15.75" customHeight="1" x14ac:dyDescent="0.25">
      <c r="A28" s="74" t="s">
        <v>71</v>
      </c>
      <c r="B28" s="74"/>
      <c r="C28" s="74"/>
      <c r="D28" s="16">
        <f>D26-D23</f>
        <v>3625870</v>
      </c>
      <c r="E28" s="16"/>
      <c r="F28" s="16">
        <f>F26-F23</f>
        <v>9733742</v>
      </c>
      <c r="G28" s="16"/>
      <c r="H28" s="16">
        <f>H26-H23</f>
        <v>87354592.799999997</v>
      </c>
      <c r="I28" s="16"/>
      <c r="J28" s="16">
        <f>J26-J23</f>
        <v>90752975.079999998</v>
      </c>
      <c r="K28" s="16"/>
      <c r="L28" s="16">
        <f>L26-L23</f>
        <v>129496297.88699999</v>
      </c>
      <c r="M28" s="3" t="s">
        <v>483</v>
      </c>
    </row>
    <row r="29" spans="1:14" ht="15.75" customHeight="1" x14ac:dyDescent="0.25">
      <c r="A29"/>
      <c r="B29"/>
      <c r="C29"/>
      <c r="D29" s="30"/>
      <c r="E29" s="3"/>
      <c r="F29" s="30"/>
      <c r="G29" s="3"/>
      <c r="H29" s="30"/>
      <c r="I29" s="3"/>
      <c r="J29" s="30"/>
      <c r="K29" s="3"/>
      <c r="L29" s="30"/>
      <c r="M29" s="3"/>
    </row>
    <row r="30" spans="1:14" ht="15.75" customHeight="1" x14ac:dyDescent="0.25">
      <c r="A30" s="75" t="s">
        <v>404</v>
      </c>
      <c r="B30" s="75"/>
      <c r="C30" s="75"/>
      <c r="D30" s="75"/>
      <c r="E30" s="16">
        <v>1401271</v>
      </c>
      <c r="F30" s="30"/>
      <c r="G30" s="3"/>
      <c r="H30" s="30"/>
      <c r="I30" s="3"/>
      <c r="J30" s="30"/>
      <c r="K30" s="3"/>
      <c r="L30" s="30"/>
      <c r="M30" s="3"/>
    </row>
    <row r="31" spans="1:14" ht="15" customHeight="1" x14ac:dyDescent="0.25">
      <c r="A31" s="75" t="s">
        <v>405</v>
      </c>
      <c r="B31" s="75"/>
      <c r="C31" s="75"/>
      <c r="D31" s="75"/>
      <c r="E31" s="16">
        <f>E30*1.1</f>
        <v>1541398.1</v>
      </c>
      <c r="F31" s="30"/>
      <c r="G31" s="3"/>
      <c r="H31" s="30"/>
      <c r="I31" s="3"/>
      <c r="J31" s="30"/>
      <c r="K31" s="3"/>
      <c r="L31" s="30"/>
      <c r="M31" s="3"/>
    </row>
    <row r="32" spans="1:14" ht="15" customHeight="1" x14ac:dyDescent="0.25">
      <c r="A32" s="75" t="s">
        <v>406</v>
      </c>
      <c r="B32" s="75"/>
      <c r="C32" s="75"/>
      <c r="D32" s="75"/>
      <c r="E32" s="16">
        <f>E31*1.1</f>
        <v>1695537.9100000001</v>
      </c>
      <c r="F32" s="30"/>
      <c r="G32" s="3"/>
      <c r="H32" s="30"/>
      <c r="I32" s="3"/>
      <c r="J32" s="30"/>
      <c r="K32" s="3"/>
      <c r="L32" s="30"/>
      <c r="M32" s="3"/>
    </row>
    <row r="33" spans="1:13" ht="15" customHeight="1" x14ac:dyDescent="0.25">
      <c r="A33" s="75" t="s">
        <v>407</v>
      </c>
      <c r="B33" s="75"/>
      <c r="C33" s="75"/>
      <c r="D33" s="75"/>
      <c r="E33" s="16">
        <f>E32*1.1</f>
        <v>1865091.7010000004</v>
      </c>
      <c r="F33" s="30"/>
      <c r="G33" s="3"/>
      <c r="H33" s="30"/>
      <c r="I33" s="3"/>
      <c r="J33" s="30"/>
      <c r="K33" s="3"/>
      <c r="L33" s="30"/>
      <c r="M33" s="3"/>
    </row>
    <row r="34" spans="1:13" ht="15" customHeight="1" x14ac:dyDescent="0.25"/>
    <row r="35" spans="1:13" ht="15" customHeight="1" x14ac:dyDescent="0.25"/>
    <row r="37" spans="1:13" ht="15" customHeight="1" x14ac:dyDescent="0.25"/>
    <row r="38" spans="1:13" ht="15" customHeight="1" x14ac:dyDescent="0.25"/>
    <row r="39" spans="1:13" ht="15" customHeight="1" x14ac:dyDescent="0.25"/>
    <row r="40" spans="1:13" ht="15" customHeight="1" x14ac:dyDescent="0.25"/>
  </sheetData>
  <mergeCells count="12">
    <mergeCell ref="A32:D32"/>
    <mergeCell ref="A33:D33"/>
    <mergeCell ref="A1:M1"/>
    <mergeCell ref="A22:C22"/>
    <mergeCell ref="A23:C23"/>
    <mergeCell ref="A24:C24"/>
    <mergeCell ref="A25:C25"/>
    <mergeCell ref="A26:C26"/>
    <mergeCell ref="A27:C27"/>
    <mergeCell ref="A28:C28"/>
    <mergeCell ref="A30:D30"/>
    <mergeCell ref="A31:D3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3E3C-2D10-41F4-AC83-A0AF9B944D51}">
  <dimension ref="A1:T34"/>
  <sheetViews>
    <sheetView workbookViewId="0">
      <pane ySplit="2" topLeftCell="A3" activePane="bottomLeft" state="frozen"/>
      <selection pane="bottomLeft" activeCell="P13" sqref="P13"/>
    </sheetView>
  </sheetViews>
  <sheetFormatPr defaultRowHeight="15" x14ac:dyDescent="0.25"/>
  <cols>
    <col min="1" max="1" width="20.42578125" bestFit="1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6.85546875" bestFit="1" customWidth="1"/>
    <col min="17" max="17" width="20.42578125" bestFit="1" customWidth="1"/>
    <col min="18" max="18" width="17" bestFit="1" customWidth="1"/>
    <col min="19" max="19" width="15.7109375" bestFit="1" customWidth="1"/>
    <col min="20" max="20" width="14.5703125" bestFit="1" customWidth="1"/>
  </cols>
  <sheetData>
    <row r="1" spans="1:20" x14ac:dyDescent="0.25">
      <c r="A1" s="75" t="s">
        <v>824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798</v>
      </c>
      <c r="B3" s="6" t="s">
        <v>10</v>
      </c>
      <c r="C3" s="6">
        <v>28</v>
      </c>
      <c r="D3" s="7">
        <v>46394100</v>
      </c>
      <c r="E3" s="38">
        <v>0.3</v>
      </c>
      <c r="F3" s="7">
        <v>46113154</v>
      </c>
      <c r="G3" s="38">
        <v>0.27800000000000002</v>
      </c>
      <c r="H3" s="7">
        <v>49824681</v>
      </c>
      <c r="I3" s="38">
        <v>0.28599999999999998</v>
      </c>
      <c r="J3" s="7">
        <v>53536209</v>
      </c>
      <c r="K3" s="38">
        <v>0.29299999999999998</v>
      </c>
      <c r="L3" s="10" t="s">
        <v>46</v>
      </c>
      <c r="M3" s="40">
        <v>0.41199999999999998</v>
      </c>
      <c r="O3" s="31" t="s">
        <v>484</v>
      </c>
    </row>
    <row r="4" spans="1:20" x14ac:dyDescent="0.25">
      <c r="A4" s="9" t="s">
        <v>799</v>
      </c>
      <c r="B4" s="6" t="s">
        <v>10</v>
      </c>
      <c r="C4" s="6">
        <v>26</v>
      </c>
      <c r="D4" s="7">
        <v>35000000</v>
      </c>
      <c r="E4" s="38">
        <v>0.22600000000000001</v>
      </c>
      <c r="F4" s="7">
        <v>49000000</v>
      </c>
      <c r="G4" s="38">
        <v>0.29499999999999998</v>
      </c>
      <c r="H4" s="7">
        <v>50500000</v>
      </c>
      <c r="I4" s="38">
        <v>0.28999999999999998</v>
      </c>
      <c r="J4" s="7">
        <v>52000000</v>
      </c>
      <c r="K4" s="38">
        <v>0.28399999999999997</v>
      </c>
      <c r="L4" s="14">
        <v>53500000</v>
      </c>
      <c r="M4" s="39">
        <v>0.27800000000000002</v>
      </c>
      <c r="O4" s="32" t="s">
        <v>485</v>
      </c>
    </row>
    <row r="5" spans="1:20" x14ac:dyDescent="0.25">
      <c r="A5" s="9" t="s">
        <v>800</v>
      </c>
      <c r="B5" s="6" t="s">
        <v>18</v>
      </c>
      <c r="C5" s="6">
        <v>31</v>
      </c>
      <c r="D5" s="7">
        <v>19375000</v>
      </c>
      <c r="E5" s="38">
        <v>0.125</v>
      </c>
      <c r="F5" s="10" t="s">
        <v>694</v>
      </c>
      <c r="G5" s="40">
        <v>0.17499999999999999</v>
      </c>
      <c r="H5" s="6"/>
      <c r="I5" s="6"/>
      <c r="J5" s="6"/>
      <c r="K5" s="6"/>
      <c r="L5" s="6"/>
      <c r="M5" s="6"/>
      <c r="O5" s="33" t="s">
        <v>486</v>
      </c>
    </row>
    <row r="6" spans="1:20" x14ac:dyDescent="0.25">
      <c r="A6" s="9" t="s">
        <v>801</v>
      </c>
      <c r="B6" s="6" t="s">
        <v>14</v>
      </c>
      <c r="C6" s="6">
        <v>19</v>
      </c>
      <c r="D6" s="7">
        <v>9069840</v>
      </c>
      <c r="E6" s="38">
        <v>5.8999999999999997E-2</v>
      </c>
      <c r="F6" s="7">
        <v>9523080</v>
      </c>
      <c r="G6" s="38">
        <v>5.7000000000000002E-2</v>
      </c>
      <c r="H6" s="13">
        <v>9976560</v>
      </c>
      <c r="I6" s="41">
        <v>5.7000000000000002E-2</v>
      </c>
      <c r="J6" s="13">
        <v>12640302</v>
      </c>
      <c r="K6" s="41">
        <v>6.9000000000000006E-2</v>
      </c>
      <c r="L6" s="12" t="s">
        <v>802</v>
      </c>
      <c r="M6" s="42">
        <v>0.19700000000000001</v>
      </c>
      <c r="O6" s="34" t="s">
        <v>487</v>
      </c>
    </row>
    <row r="7" spans="1:20" x14ac:dyDescent="0.25">
      <c r="A7" s="9" t="s">
        <v>803</v>
      </c>
      <c r="B7" s="6" t="s">
        <v>11</v>
      </c>
      <c r="C7" s="6">
        <v>29</v>
      </c>
      <c r="D7" s="7">
        <v>6165000</v>
      </c>
      <c r="E7" s="38">
        <v>0.04</v>
      </c>
      <c r="F7" s="7">
        <v>6165000</v>
      </c>
      <c r="G7" s="38">
        <v>3.6999999999999998E-2</v>
      </c>
      <c r="H7" s="10" t="s">
        <v>804</v>
      </c>
      <c r="I7" s="40">
        <v>6.7000000000000004E-2</v>
      </c>
      <c r="J7" s="6"/>
      <c r="K7" s="6"/>
      <c r="L7" s="6"/>
      <c r="M7" s="6"/>
    </row>
    <row r="8" spans="1:20" x14ac:dyDescent="0.25">
      <c r="A8" s="9" t="s">
        <v>805</v>
      </c>
      <c r="B8" s="6" t="s">
        <v>11</v>
      </c>
      <c r="C8" s="6">
        <v>21</v>
      </c>
      <c r="D8" s="7">
        <v>5742480</v>
      </c>
      <c r="E8" s="38">
        <v>3.6999999999999998E-2</v>
      </c>
      <c r="F8" s="7">
        <v>6015600</v>
      </c>
      <c r="G8" s="38">
        <v>3.5999999999999997E-2</v>
      </c>
      <c r="H8" s="13">
        <v>7669890</v>
      </c>
      <c r="I8" s="41">
        <v>4.3999999999999997E-2</v>
      </c>
      <c r="J8" s="12" t="s">
        <v>806</v>
      </c>
      <c r="K8" s="42">
        <v>0.126</v>
      </c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807</v>
      </c>
      <c r="B9" s="6" t="s">
        <v>18</v>
      </c>
      <c r="C9" s="6">
        <v>24</v>
      </c>
      <c r="D9" s="7">
        <v>4878938</v>
      </c>
      <c r="E9" s="38">
        <v>3.2000000000000001E-2</v>
      </c>
      <c r="F9" s="12" t="s">
        <v>808</v>
      </c>
      <c r="G9" s="42">
        <v>8.7999999999999995E-2</v>
      </c>
      <c r="H9" s="6"/>
      <c r="I9" s="6"/>
      <c r="J9" s="6"/>
      <c r="K9" s="6"/>
      <c r="L9" s="6"/>
      <c r="M9" s="6"/>
      <c r="O9" t="s">
        <v>488</v>
      </c>
      <c r="P9" s="9" t="s">
        <v>809</v>
      </c>
      <c r="Q9" s="9" t="s">
        <v>801</v>
      </c>
      <c r="R9" s="9" t="s">
        <v>798</v>
      </c>
      <c r="S9" s="9" t="s">
        <v>799</v>
      </c>
      <c r="T9" s="9" t="s">
        <v>807</v>
      </c>
    </row>
    <row r="10" spans="1:20" x14ac:dyDescent="0.25">
      <c r="A10" s="9" t="s">
        <v>809</v>
      </c>
      <c r="B10" s="6" t="s">
        <v>11</v>
      </c>
      <c r="C10" s="6">
        <v>22</v>
      </c>
      <c r="D10" s="7">
        <v>4278960</v>
      </c>
      <c r="E10" s="38">
        <v>2.8000000000000001E-2</v>
      </c>
      <c r="F10" s="7">
        <v>6563925</v>
      </c>
      <c r="G10" s="38">
        <v>0.04</v>
      </c>
      <c r="H10" s="12" t="s">
        <v>810</v>
      </c>
      <c r="I10" s="42">
        <v>0.113</v>
      </c>
      <c r="J10" s="6"/>
      <c r="K10" s="6"/>
      <c r="L10" s="6"/>
      <c r="M10" s="6"/>
      <c r="O10" t="s">
        <v>489</v>
      </c>
      <c r="P10" s="9" t="s">
        <v>817</v>
      </c>
      <c r="Q10" s="9" t="s">
        <v>803</v>
      </c>
      <c r="R10" s="9" t="s">
        <v>816</v>
      </c>
      <c r="S10" s="9" t="s">
        <v>814</v>
      </c>
      <c r="T10" s="9" t="s">
        <v>800</v>
      </c>
    </row>
    <row r="11" spans="1:20" x14ac:dyDescent="0.25">
      <c r="A11" s="9" t="s">
        <v>811</v>
      </c>
      <c r="B11" s="6" t="s">
        <v>18</v>
      </c>
      <c r="C11" s="6">
        <v>37</v>
      </c>
      <c r="D11" s="7">
        <v>4150000</v>
      </c>
      <c r="E11" s="38">
        <v>2.7E-2</v>
      </c>
      <c r="F11" s="10" t="s">
        <v>812</v>
      </c>
      <c r="G11" s="40">
        <v>4.8000000000000001E-2</v>
      </c>
      <c r="H11" s="6"/>
      <c r="I11" s="6"/>
      <c r="J11" s="6"/>
      <c r="K11" s="6"/>
      <c r="L11" s="6"/>
      <c r="M11" s="6"/>
      <c r="O11" t="s">
        <v>490</v>
      </c>
      <c r="P11" s="9" t="s">
        <v>819</v>
      </c>
      <c r="Q11" s="9" t="s">
        <v>805</v>
      </c>
      <c r="R11" s="9"/>
      <c r="S11" s="9" t="s">
        <v>821</v>
      </c>
      <c r="T11" s="9" t="s">
        <v>811</v>
      </c>
    </row>
    <row r="12" spans="1:20" x14ac:dyDescent="0.25">
      <c r="A12" s="9" t="s">
        <v>813</v>
      </c>
      <c r="B12" s="6" t="s">
        <v>11</v>
      </c>
      <c r="C12" s="6">
        <v>28</v>
      </c>
      <c r="D12" s="7">
        <v>3675000</v>
      </c>
      <c r="E12" s="38">
        <v>2.4E-2</v>
      </c>
      <c r="F12" s="7">
        <v>3850000</v>
      </c>
      <c r="G12" s="38">
        <v>2.3E-2</v>
      </c>
      <c r="H12" s="13">
        <v>4025000</v>
      </c>
      <c r="I12" s="41">
        <v>2.3E-2</v>
      </c>
      <c r="J12" s="10" t="s">
        <v>181</v>
      </c>
      <c r="K12" s="40">
        <v>4.2000000000000003E-2</v>
      </c>
      <c r="L12" s="6"/>
      <c r="M12" s="6"/>
      <c r="P12" s="9" t="s">
        <v>820</v>
      </c>
      <c r="Q12" s="9" t="s">
        <v>813</v>
      </c>
    </row>
    <row r="13" spans="1:20" x14ac:dyDescent="0.25">
      <c r="A13" s="9" t="s">
        <v>814</v>
      </c>
      <c r="B13" s="6" t="s">
        <v>10</v>
      </c>
      <c r="C13" s="6">
        <v>22</v>
      </c>
      <c r="D13" s="7">
        <v>3000000</v>
      </c>
      <c r="E13" s="38">
        <v>1.9E-2</v>
      </c>
      <c r="F13" s="7">
        <v>3000000</v>
      </c>
      <c r="G13" s="38">
        <v>1.7999999999999999E-2</v>
      </c>
      <c r="H13" s="13">
        <v>3000000</v>
      </c>
      <c r="I13" s="41">
        <v>1.7000000000000001E-2</v>
      </c>
      <c r="J13" s="12" t="s">
        <v>815</v>
      </c>
      <c r="K13" s="42">
        <v>3.1E-2</v>
      </c>
      <c r="L13" s="6"/>
      <c r="M13" s="6"/>
      <c r="P13" s="9" t="s">
        <v>823</v>
      </c>
      <c r="Q13" s="9" t="s">
        <v>822</v>
      </c>
    </row>
    <row r="14" spans="1:20" x14ac:dyDescent="0.25">
      <c r="A14" s="9" t="s">
        <v>816</v>
      </c>
      <c r="B14" s="6" t="s">
        <v>14</v>
      </c>
      <c r="C14" s="6">
        <v>22</v>
      </c>
      <c r="D14" s="7">
        <v>2693760</v>
      </c>
      <c r="E14" s="38">
        <v>1.7000000000000001E-2</v>
      </c>
      <c r="F14" s="7">
        <v>4862237</v>
      </c>
      <c r="G14" s="38">
        <v>2.9000000000000001E-2</v>
      </c>
      <c r="H14" s="12" t="s">
        <v>808</v>
      </c>
      <c r="I14" s="42">
        <v>8.4000000000000005E-2</v>
      </c>
      <c r="J14" s="6"/>
      <c r="K14" s="6"/>
      <c r="L14" s="6"/>
      <c r="M14" s="6"/>
    </row>
    <row r="15" spans="1:20" x14ac:dyDescent="0.25">
      <c r="A15" s="9" t="s">
        <v>817</v>
      </c>
      <c r="B15" s="6" t="s">
        <v>25</v>
      </c>
      <c r="C15" s="6">
        <v>21</v>
      </c>
      <c r="D15" s="7">
        <v>2638200</v>
      </c>
      <c r="E15" s="38">
        <v>1.7000000000000001E-2</v>
      </c>
      <c r="F15" s="7">
        <v>2763960</v>
      </c>
      <c r="G15" s="38">
        <v>1.7000000000000001E-2</v>
      </c>
      <c r="H15" s="13">
        <v>4988948</v>
      </c>
      <c r="I15" s="41">
        <v>2.9000000000000001E-2</v>
      </c>
      <c r="J15" s="12" t="s">
        <v>818</v>
      </c>
      <c r="K15" s="42">
        <v>8.2000000000000003E-2</v>
      </c>
      <c r="L15" s="6"/>
      <c r="M15" s="6"/>
    </row>
    <row r="16" spans="1:20" x14ac:dyDescent="0.25">
      <c r="A16" s="9" t="s">
        <v>819</v>
      </c>
      <c r="B16" s="6" t="s">
        <v>29</v>
      </c>
      <c r="C16" s="6">
        <v>23</v>
      </c>
      <c r="D16" s="7">
        <v>73153</v>
      </c>
      <c r="E16" s="38">
        <v>0</v>
      </c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9" t="s">
        <v>820</v>
      </c>
      <c r="B17" s="6" t="s">
        <v>29</v>
      </c>
      <c r="C17" s="6">
        <v>25</v>
      </c>
      <c r="D17" s="7">
        <v>73153</v>
      </c>
      <c r="E17" s="38">
        <v>0</v>
      </c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9" t="s">
        <v>821</v>
      </c>
      <c r="B18" s="6" t="s">
        <v>10</v>
      </c>
      <c r="C18" s="6">
        <v>26</v>
      </c>
      <c r="D18" s="6" t="s">
        <v>63</v>
      </c>
      <c r="E18" s="6"/>
      <c r="F18" s="12" t="s">
        <v>64</v>
      </c>
      <c r="G18" s="42">
        <v>1.2999999999999999E-2</v>
      </c>
      <c r="H18" s="6"/>
      <c r="I18" s="6"/>
      <c r="J18" s="6"/>
      <c r="K18" s="6"/>
      <c r="L18" s="6"/>
      <c r="M18" s="6"/>
    </row>
    <row r="19" spans="1:13" x14ac:dyDescent="0.25">
      <c r="A19" s="9" t="s">
        <v>822</v>
      </c>
      <c r="B19" s="6" t="s">
        <v>11</v>
      </c>
      <c r="C19" s="6">
        <v>26</v>
      </c>
      <c r="D19" s="6" t="s">
        <v>63</v>
      </c>
      <c r="E19" s="6"/>
      <c r="F19" s="6" t="s">
        <v>63</v>
      </c>
      <c r="G19" s="6"/>
      <c r="H19" s="12" t="s">
        <v>64</v>
      </c>
      <c r="I19" s="42">
        <v>1.2999999999999999E-2</v>
      </c>
      <c r="J19" s="6"/>
      <c r="K19" s="6"/>
      <c r="L19" s="6"/>
      <c r="M19" s="6"/>
    </row>
    <row r="20" spans="1:13" x14ac:dyDescent="0.25">
      <c r="A20" s="9" t="s">
        <v>823</v>
      </c>
      <c r="B20" s="6" t="s">
        <v>25</v>
      </c>
      <c r="C20" s="6">
        <v>25</v>
      </c>
      <c r="D20" s="6" t="s">
        <v>63</v>
      </c>
      <c r="E20" s="6"/>
      <c r="F20" s="12" t="s">
        <v>64</v>
      </c>
      <c r="G20" s="42">
        <v>1.2999999999999999E-2</v>
      </c>
      <c r="H20" s="6"/>
      <c r="I20" s="6"/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147207584</v>
      </c>
      <c r="E23" s="29"/>
      <c r="F23" s="16">
        <f>SUM(F3:F4,F6:F8,F10,F12:F15)</f>
        <v>137856956</v>
      </c>
      <c r="G23" s="17"/>
      <c r="H23" s="16">
        <f>SUM(H3:H4)</f>
        <v>100324681</v>
      </c>
      <c r="I23" s="17"/>
      <c r="J23" s="16">
        <f>SUM(J3:J4)</f>
        <v>105536209</v>
      </c>
      <c r="K23" s="17"/>
      <c r="L23" s="16">
        <f>SUM(L5)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147207584</v>
      </c>
      <c r="E24" s="17"/>
      <c r="F24" s="16">
        <f>F23+E31*3</f>
        <v>142060769</v>
      </c>
      <c r="G24" s="17"/>
      <c r="H24" s="16">
        <f>H23+E32*13</f>
        <v>120362856.3</v>
      </c>
      <c r="I24" s="17"/>
      <c r="J24" s="16">
        <f>J23+E33*13</f>
        <v>127578201.83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147207584</v>
      </c>
      <c r="E25" s="17"/>
      <c r="F25" s="16">
        <f>F23</f>
        <v>137856956</v>
      </c>
      <c r="G25" s="17"/>
      <c r="H25" s="16">
        <f>H23+H6+H8+H12+H13+H15</f>
        <v>129985079</v>
      </c>
      <c r="I25" s="17"/>
      <c r="J25" s="16">
        <f>J23+J6</f>
        <v>118176511</v>
      </c>
      <c r="K25" s="17"/>
      <c r="L25" s="16">
        <f>L23+L4</f>
        <v>53500000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7439416</v>
      </c>
      <c r="E28" s="16"/>
      <c r="F28" s="16">
        <f>F26-F24</f>
        <v>22939231</v>
      </c>
      <c r="G28" s="16"/>
      <c r="H28" s="16">
        <f>H26-H24</f>
        <v>52887143.700000003</v>
      </c>
      <c r="I28" s="16"/>
      <c r="J28" s="16">
        <f>J26-J24</f>
        <v>54334798.170000002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40687416</v>
      </c>
      <c r="E29" s="16"/>
      <c r="F29" s="16">
        <f>F27-F24</f>
        <v>57939231</v>
      </c>
      <c r="G29" s="16"/>
      <c r="H29" s="16">
        <f>H27-H24</f>
        <v>90136143.700000003</v>
      </c>
      <c r="I29" s="16"/>
      <c r="J29" s="16">
        <f>J27-J24</f>
        <v>93445798.170000002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28:C28"/>
    <mergeCell ref="A29:C29"/>
    <mergeCell ref="A31:D31"/>
    <mergeCell ref="A32:D32"/>
    <mergeCell ref="A33:D33"/>
    <mergeCell ref="A34:D34"/>
    <mergeCell ref="A1:M1"/>
    <mergeCell ref="A23:C23"/>
    <mergeCell ref="A24:C24"/>
    <mergeCell ref="A25:C25"/>
    <mergeCell ref="A26:C26"/>
    <mergeCell ref="A27:C2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6B5F-1BA9-41DC-94D9-FC211BDAD803}">
  <dimension ref="A1:T34"/>
  <sheetViews>
    <sheetView workbookViewId="0">
      <pane ySplit="2" topLeftCell="A3" activePane="bottomLeft" state="frozen"/>
      <selection pane="bottomLeft" activeCell="L25" sqref="L25"/>
    </sheetView>
  </sheetViews>
  <sheetFormatPr defaultRowHeight="15" x14ac:dyDescent="0.25"/>
  <cols>
    <col min="1" max="1" width="18.28515625" bestFit="1" customWidth="1"/>
    <col min="2" max="3" width="4.28515625" bestFit="1" customWidth="1"/>
    <col min="4" max="4" width="13.7109375" bestFit="1" customWidth="1"/>
    <col min="5" max="5" width="11.5703125" bestFit="1" customWidth="1"/>
    <col min="6" max="6" width="14.5703125" bestFit="1" customWidth="1"/>
    <col min="7" max="7" width="9.7109375" bestFit="1" customWidth="1"/>
    <col min="8" max="8" width="13.7109375" bestFit="1" customWidth="1"/>
    <col min="9" max="9" width="9.7109375" bestFit="1" customWidth="1"/>
    <col min="10" max="10" width="13.7109375" bestFit="1" customWidth="1"/>
    <col min="11" max="11" width="9.7109375" bestFit="1" customWidth="1"/>
    <col min="12" max="12" width="13.7109375" bestFit="1" customWidth="1"/>
    <col min="13" max="13" width="9.7109375" bestFit="1" customWidth="1"/>
    <col min="15" max="15" width="13.28515625" bestFit="1" customWidth="1"/>
    <col min="16" max="16" width="16.42578125" bestFit="1" customWidth="1"/>
    <col min="17" max="17" width="16" bestFit="1" customWidth="1"/>
    <col min="18" max="18" width="14.7109375" bestFit="1" customWidth="1"/>
    <col min="19" max="19" width="18.28515625" bestFit="1" customWidth="1"/>
    <col min="20" max="20" width="15.7109375" bestFit="1" customWidth="1"/>
  </cols>
  <sheetData>
    <row r="1" spans="1:20" x14ac:dyDescent="0.25">
      <c r="A1" s="75" t="s">
        <v>825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396</v>
      </c>
      <c r="F2" s="9" t="s">
        <v>5</v>
      </c>
      <c r="G2" s="9" t="s">
        <v>397</v>
      </c>
      <c r="H2" s="9" t="s">
        <v>6</v>
      </c>
      <c r="I2" s="9" t="s">
        <v>398</v>
      </c>
      <c r="J2" s="9" t="s">
        <v>7</v>
      </c>
      <c r="K2" s="9" t="s">
        <v>399</v>
      </c>
      <c r="L2" s="9" t="s">
        <v>8</v>
      </c>
      <c r="M2" s="9" t="s">
        <v>400</v>
      </c>
    </row>
    <row r="3" spans="1:20" x14ac:dyDescent="0.25">
      <c r="A3" s="9" t="s">
        <v>826</v>
      </c>
      <c r="B3" s="6" t="s">
        <v>18</v>
      </c>
      <c r="C3" s="6">
        <v>32</v>
      </c>
      <c r="D3" s="7">
        <v>54126450</v>
      </c>
      <c r="E3" s="38">
        <v>0.35</v>
      </c>
      <c r="F3" s="7">
        <v>58456566</v>
      </c>
      <c r="G3" s="38">
        <v>0.35199999999999998</v>
      </c>
      <c r="H3" s="14">
        <v>62786682</v>
      </c>
      <c r="I3" s="39">
        <v>0.36</v>
      </c>
      <c r="J3" s="10" t="s">
        <v>507</v>
      </c>
      <c r="K3" s="40">
        <v>0.36599999999999999</v>
      </c>
      <c r="L3" s="6"/>
      <c r="M3" s="6"/>
      <c r="O3" s="31" t="s">
        <v>484</v>
      </c>
    </row>
    <row r="4" spans="1:20" x14ac:dyDescent="0.25">
      <c r="A4" s="9" t="s">
        <v>827</v>
      </c>
      <c r="B4" s="6" t="s">
        <v>25</v>
      </c>
      <c r="C4" s="6">
        <v>27</v>
      </c>
      <c r="D4" s="7">
        <v>46394100</v>
      </c>
      <c r="E4" s="38">
        <v>0.3</v>
      </c>
      <c r="F4" s="14">
        <v>48967380</v>
      </c>
      <c r="G4" s="39">
        <v>0.29499999999999998</v>
      </c>
      <c r="H4" s="10" t="s">
        <v>828</v>
      </c>
      <c r="I4" s="10"/>
      <c r="J4" s="6"/>
      <c r="K4" s="6"/>
      <c r="L4" s="6"/>
      <c r="M4" s="6"/>
      <c r="O4" s="32" t="s">
        <v>485</v>
      </c>
    </row>
    <row r="5" spans="1:20" x14ac:dyDescent="0.25">
      <c r="A5" s="9" t="s">
        <v>829</v>
      </c>
      <c r="B5" s="6" t="s">
        <v>10</v>
      </c>
      <c r="C5" s="6">
        <v>20</v>
      </c>
      <c r="D5" s="7">
        <v>11808240</v>
      </c>
      <c r="E5" s="38">
        <v>7.5999999999999998E-2</v>
      </c>
      <c r="F5" s="7">
        <v>12370680</v>
      </c>
      <c r="G5" s="38">
        <v>7.4999999999999997E-2</v>
      </c>
      <c r="H5" s="13">
        <v>15611798</v>
      </c>
      <c r="I5" s="41">
        <v>0.09</v>
      </c>
      <c r="J5" s="12" t="s">
        <v>830</v>
      </c>
      <c r="K5" s="42">
        <v>0.21299999999999999</v>
      </c>
      <c r="L5" s="6"/>
      <c r="M5" s="6"/>
      <c r="O5" s="33" t="s">
        <v>486</v>
      </c>
    </row>
    <row r="6" spans="1:20" x14ac:dyDescent="0.25">
      <c r="A6" s="9" t="s">
        <v>831</v>
      </c>
      <c r="B6" s="6" t="s">
        <v>11</v>
      </c>
      <c r="C6" s="6">
        <v>19</v>
      </c>
      <c r="D6" s="7">
        <v>8237640</v>
      </c>
      <c r="E6" s="38">
        <v>5.2999999999999999E-2</v>
      </c>
      <c r="F6" s="7">
        <v>8649600</v>
      </c>
      <c r="G6" s="38">
        <v>5.1999999999999998E-2</v>
      </c>
      <c r="H6" s="13">
        <v>9061680</v>
      </c>
      <c r="I6" s="41">
        <v>5.1999999999999998E-2</v>
      </c>
      <c r="J6" s="13">
        <v>11490211</v>
      </c>
      <c r="K6" s="41">
        <v>6.3E-2</v>
      </c>
      <c r="L6" s="12" t="s">
        <v>218</v>
      </c>
      <c r="M6" s="42">
        <v>0.17899999999999999</v>
      </c>
      <c r="O6" s="34" t="s">
        <v>487</v>
      </c>
    </row>
    <row r="7" spans="1:20" x14ac:dyDescent="0.25">
      <c r="A7" s="9" t="s">
        <v>832</v>
      </c>
      <c r="B7" s="6" t="s">
        <v>14</v>
      </c>
      <c r="C7" s="6">
        <v>21</v>
      </c>
      <c r="D7" s="7">
        <v>7275600</v>
      </c>
      <c r="E7" s="38">
        <v>4.7E-2</v>
      </c>
      <c r="F7" s="7">
        <v>9240012</v>
      </c>
      <c r="G7" s="38">
        <v>5.6000000000000001E-2</v>
      </c>
      <c r="H7" s="12" t="s">
        <v>833</v>
      </c>
      <c r="I7" s="42">
        <v>0.159</v>
      </c>
      <c r="J7" s="6"/>
      <c r="K7" s="6"/>
      <c r="L7" s="6"/>
      <c r="M7" s="6"/>
    </row>
    <row r="8" spans="1:20" x14ac:dyDescent="0.25">
      <c r="A8" s="9" t="s">
        <v>834</v>
      </c>
      <c r="B8" s="6" t="s">
        <v>11</v>
      </c>
      <c r="C8" s="6">
        <v>23</v>
      </c>
      <c r="D8" s="7">
        <v>6000000</v>
      </c>
      <c r="E8" s="38">
        <v>3.9E-2</v>
      </c>
      <c r="F8" s="7">
        <v>6000000</v>
      </c>
      <c r="G8" s="38">
        <v>3.5999999999999997E-2</v>
      </c>
      <c r="H8" s="13">
        <v>6000000</v>
      </c>
      <c r="I8" s="41">
        <v>3.4000000000000002E-2</v>
      </c>
      <c r="J8" s="10" t="s">
        <v>835</v>
      </c>
      <c r="K8" s="40">
        <v>6.2E-2</v>
      </c>
      <c r="L8" s="6"/>
      <c r="M8" s="6"/>
      <c r="O8" s="2" t="s">
        <v>395</v>
      </c>
      <c r="P8" t="s">
        <v>25</v>
      </c>
      <c r="Q8" t="s">
        <v>11</v>
      </c>
      <c r="R8" t="s">
        <v>14</v>
      </c>
      <c r="S8" t="s">
        <v>10</v>
      </c>
      <c r="T8" t="s">
        <v>18</v>
      </c>
    </row>
    <row r="9" spans="1:20" x14ac:dyDescent="0.25">
      <c r="A9" s="9" t="s">
        <v>836</v>
      </c>
      <c r="B9" s="6" t="s">
        <v>25</v>
      </c>
      <c r="C9" s="6">
        <v>29</v>
      </c>
      <c r="D9" s="7">
        <v>5685000</v>
      </c>
      <c r="E9" s="38">
        <v>3.6999999999999998E-2</v>
      </c>
      <c r="F9" s="14">
        <v>5969250</v>
      </c>
      <c r="G9" s="39">
        <v>3.5999999999999997E-2</v>
      </c>
      <c r="H9" s="10" t="s">
        <v>177</v>
      </c>
      <c r="I9" s="40">
        <v>4.4999999999999998E-2</v>
      </c>
      <c r="J9" s="6"/>
      <c r="K9" s="6"/>
      <c r="L9" s="6"/>
      <c r="M9" s="6"/>
      <c r="O9" t="s">
        <v>488</v>
      </c>
      <c r="P9" s="9" t="s">
        <v>827</v>
      </c>
      <c r="Q9" s="9" t="s">
        <v>831</v>
      </c>
      <c r="R9" s="9" t="s">
        <v>832</v>
      </c>
      <c r="S9" s="9" t="s">
        <v>826</v>
      </c>
      <c r="T9" s="9" t="s">
        <v>829</v>
      </c>
    </row>
    <row r="10" spans="1:20" x14ac:dyDescent="0.25">
      <c r="A10" s="9" t="s">
        <v>837</v>
      </c>
      <c r="B10" s="6" t="s">
        <v>25</v>
      </c>
      <c r="C10" s="6">
        <v>20</v>
      </c>
      <c r="D10" s="7">
        <v>4677600</v>
      </c>
      <c r="E10" s="38">
        <v>0.03</v>
      </c>
      <c r="F10" s="7">
        <v>4900560</v>
      </c>
      <c r="G10" s="38">
        <v>0.03</v>
      </c>
      <c r="H10" s="13">
        <v>7257730</v>
      </c>
      <c r="I10" s="41">
        <v>4.2000000000000003E-2</v>
      </c>
      <c r="J10" s="12" t="s">
        <v>838</v>
      </c>
      <c r="K10" s="42">
        <v>0.11899999999999999</v>
      </c>
      <c r="L10" s="6"/>
      <c r="M10" s="6"/>
      <c r="O10" t="s">
        <v>489</v>
      </c>
      <c r="P10" s="9" t="s">
        <v>836</v>
      </c>
      <c r="Q10" s="9" t="s">
        <v>843</v>
      </c>
      <c r="R10" s="9" t="s">
        <v>839</v>
      </c>
      <c r="S10" s="9" t="s">
        <v>845</v>
      </c>
      <c r="T10" s="9" t="s">
        <v>844</v>
      </c>
    </row>
    <row r="11" spans="1:20" x14ac:dyDescent="0.25">
      <c r="A11" s="9" t="s">
        <v>839</v>
      </c>
      <c r="B11" s="6" t="s">
        <v>14</v>
      </c>
      <c r="C11" s="6">
        <v>21</v>
      </c>
      <c r="D11" s="7">
        <v>3539760</v>
      </c>
      <c r="E11" s="38">
        <v>2.3E-2</v>
      </c>
      <c r="F11" s="7">
        <v>5458310</v>
      </c>
      <c r="G11" s="38">
        <v>3.3000000000000002E-2</v>
      </c>
      <c r="H11" s="12" t="s">
        <v>840</v>
      </c>
      <c r="I11" s="42">
        <v>9.4E-2</v>
      </c>
      <c r="J11" s="6"/>
      <c r="K11" s="6"/>
      <c r="L11" s="6"/>
      <c r="M11" s="6"/>
      <c r="O11" t="s">
        <v>490</v>
      </c>
      <c r="P11" s="9" t="s">
        <v>837</v>
      </c>
      <c r="Q11" s="9" t="s">
        <v>834</v>
      </c>
      <c r="R11" s="9" t="s">
        <v>841</v>
      </c>
      <c r="S11" s="9" t="s">
        <v>846</v>
      </c>
      <c r="T11" s="9"/>
    </row>
    <row r="12" spans="1:20" x14ac:dyDescent="0.25">
      <c r="A12" s="9" t="s">
        <v>841</v>
      </c>
      <c r="B12" s="6" t="s">
        <v>14</v>
      </c>
      <c r="C12" s="6">
        <v>19</v>
      </c>
      <c r="D12" s="7">
        <v>3512520</v>
      </c>
      <c r="E12" s="38">
        <v>2.3E-2</v>
      </c>
      <c r="F12" s="7">
        <v>3688320</v>
      </c>
      <c r="G12" s="38">
        <v>2.1999999999999999E-2</v>
      </c>
      <c r="H12" s="13">
        <v>3864000</v>
      </c>
      <c r="I12" s="41">
        <v>2.1999999999999999E-2</v>
      </c>
      <c r="J12" s="13">
        <v>6155352</v>
      </c>
      <c r="K12" s="41">
        <v>3.4000000000000002E-2</v>
      </c>
      <c r="L12" s="12" t="s">
        <v>842</v>
      </c>
      <c r="M12" s="42">
        <v>9.6000000000000002E-2</v>
      </c>
      <c r="P12" s="9" t="s">
        <v>849</v>
      </c>
      <c r="Q12" s="9" t="s">
        <v>847</v>
      </c>
      <c r="R12" s="9" t="s">
        <v>850</v>
      </c>
      <c r="S12" s="9" t="s">
        <v>848</v>
      </c>
    </row>
    <row r="13" spans="1:20" x14ac:dyDescent="0.25">
      <c r="A13" s="9" t="s">
        <v>843</v>
      </c>
      <c r="B13" s="6" t="s">
        <v>11</v>
      </c>
      <c r="C13" s="6">
        <v>22</v>
      </c>
      <c r="D13" s="7">
        <v>2966760</v>
      </c>
      <c r="E13" s="38">
        <v>1.9E-2</v>
      </c>
      <c r="F13" s="7">
        <v>3108000</v>
      </c>
      <c r="G13" s="38">
        <v>1.9E-2</v>
      </c>
      <c r="H13" s="13">
        <v>5435892</v>
      </c>
      <c r="I13" s="41">
        <v>3.1E-2</v>
      </c>
      <c r="J13" s="12" t="s">
        <v>308</v>
      </c>
      <c r="K13" s="42">
        <v>8.8999999999999996E-2</v>
      </c>
      <c r="L13" s="6"/>
      <c r="M13" s="6"/>
    </row>
    <row r="14" spans="1:20" x14ac:dyDescent="0.25">
      <c r="A14" s="9" t="s">
        <v>844</v>
      </c>
      <c r="B14" s="6" t="s">
        <v>18</v>
      </c>
      <c r="C14" s="6">
        <v>22</v>
      </c>
      <c r="D14" s="7">
        <v>2857143</v>
      </c>
      <c r="E14" s="38">
        <v>1.7999999999999999E-2</v>
      </c>
      <c r="F14" s="7">
        <v>3000000</v>
      </c>
      <c r="G14" s="38">
        <v>1.7999999999999999E-2</v>
      </c>
      <c r="H14" s="13">
        <v>3000000</v>
      </c>
      <c r="I14" s="41">
        <v>1.7000000000000001E-2</v>
      </c>
      <c r="J14" s="10" t="s">
        <v>375</v>
      </c>
      <c r="K14" s="40">
        <v>1.4999999999999999E-2</v>
      </c>
      <c r="L14" s="6"/>
      <c r="M14" s="6"/>
    </row>
    <row r="15" spans="1:20" ht="14.25" customHeight="1" x14ac:dyDescent="0.25">
      <c r="A15" s="9" t="s">
        <v>845</v>
      </c>
      <c r="B15" s="6" t="s">
        <v>14</v>
      </c>
      <c r="C15" s="6">
        <v>24</v>
      </c>
      <c r="D15" s="7">
        <v>2349578</v>
      </c>
      <c r="E15" s="38">
        <v>1.4999999999999999E-2</v>
      </c>
      <c r="F15" s="7">
        <v>2667944</v>
      </c>
      <c r="G15" s="38">
        <v>1.6E-2</v>
      </c>
      <c r="H15" s="13">
        <v>3005085</v>
      </c>
      <c r="I15" s="41">
        <v>1.7000000000000001E-2</v>
      </c>
      <c r="J15" s="10" t="s">
        <v>61</v>
      </c>
      <c r="K15" s="40">
        <v>1.4999999999999999E-2</v>
      </c>
      <c r="L15" s="6"/>
      <c r="M15" s="6"/>
    </row>
    <row r="16" spans="1:20" x14ac:dyDescent="0.25">
      <c r="A16" s="9" t="s">
        <v>846</v>
      </c>
      <c r="B16" s="6" t="s">
        <v>10</v>
      </c>
      <c r="C16" s="6">
        <v>33</v>
      </c>
      <c r="D16" s="7">
        <v>2296274</v>
      </c>
      <c r="E16" s="38">
        <v>1.4999999999999999E-2</v>
      </c>
      <c r="F16" s="10" t="s">
        <v>57</v>
      </c>
      <c r="G16" s="40">
        <v>1.4999999999999999E-2</v>
      </c>
      <c r="H16" s="6"/>
      <c r="I16" s="6"/>
      <c r="J16" s="6"/>
      <c r="K16" s="6"/>
      <c r="L16" s="6"/>
      <c r="M16" s="6"/>
    </row>
    <row r="17" spans="1:13" x14ac:dyDescent="0.25">
      <c r="A17" s="9" t="s">
        <v>847</v>
      </c>
      <c r="B17" s="6" t="s">
        <v>29</v>
      </c>
      <c r="C17" s="6">
        <v>24</v>
      </c>
      <c r="D17" s="7">
        <v>1131970</v>
      </c>
      <c r="E17" s="38">
        <v>7.0000000000000001E-3</v>
      </c>
      <c r="F17" s="13">
        <v>2150917</v>
      </c>
      <c r="G17" s="41">
        <v>1.2999999999999999E-2</v>
      </c>
      <c r="H17" s="12" t="s">
        <v>444</v>
      </c>
      <c r="I17" s="42">
        <v>1.7000000000000001E-2</v>
      </c>
      <c r="J17" s="6"/>
      <c r="K17" s="6"/>
      <c r="L17" s="6"/>
      <c r="M17" s="6"/>
    </row>
    <row r="18" spans="1:13" x14ac:dyDescent="0.25">
      <c r="A18" s="9" t="s">
        <v>848</v>
      </c>
      <c r="B18" s="6" t="s">
        <v>82</v>
      </c>
      <c r="C18" s="6">
        <v>22</v>
      </c>
      <c r="D18" s="6" t="s">
        <v>63</v>
      </c>
      <c r="E18" s="6"/>
      <c r="F18" s="6" t="s">
        <v>63</v>
      </c>
      <c r="G18" s="6"/>
      <c r="H18" s="12" t="s">
        <v>64</v>
      </c>
      <c r="I18" s="42">
        <v>1.2999999999999999E-2</v>
      </c>
      <c r="J18" s="6"/>
      <c r="K18" s="6"/>
      <c r="L18" s="6"/>
      <c r="M18" s="6"/>
    </row>
    <row r="19" spans="1:13" x14ac:dyDescent="0.25">
      <c r="A19" s="9" t="s">
        <v>849</v>
      </c>
      <c r="B19" s="6" t="s">
        <v>25</v>
      </c>
      <c r="C19" s="6">
        <v>24</v>
      </c>
      <c r="D19" s="6" t="s">
        <v>63</v>
      </c>
      <c r="E19" s="6"/>
      <c r="F19" s="12" t="s">
        <v>64</v>
      </c>
      <c r="G19" s="42">
        <v>1.2999999999999999E-2</v>
      </c>
      <c r="H19" s="6"/>
      <c r="I19" s="6"/>
      <c r="J19" s="6"/>
      <c r="K19" s="6"/>
      <c r="L19" s="6"/>
      <c r="M19" s="6"/>
    </row>
    <row r="20" spans="1:13" x14ac:dyDescent="0.25">
      <c r="A20" s="9" t="s">
        <v>850</v>
      </c>
      <c r="B20" s="6" t="s">
        <v>14</v>
      </c>
      <c r="C20" s="6">
        <v>26</v>
      </c>
      <c r="D20" s="6" t="s">
        <v>63</v>
      </c>
      <c r="E20" s="6"/>
      <c r="F20" s="6" t="s">
        <v>63</v>
      </c>
      <c r="G20" s="6"/>
      <c r="H20" s="12" t="s">
        <v>64</v>
      </c>
      <c r="I20" s="42">
        <v>1.2999999999999999E-2</v>
      </c>
      <c r="J20" s="6"/>
      <c r="K20" s="6"/>
      <c r="L20" s="6"/>
      <c r="M20" s="6"/>
    </row>
    <row r="23" spans="1:13" x14ac:dyDescent="0.25">
      <c r="A23" s="76" t="s">
        <v>65</v>
      </c>
      <c r="B23" s="76"/>
      <c r="C23" s="76"/>
      <c r="D23" s="16">
        <f>SUM(D3:D17)</f>
        <v>162858635</v>
      </c>
      <c r="E23" s="29"/>
      <c r="F23" s="16">
        <f>SUM(F3,F5:F8,F10:F15)</f>
        <v>117539992</v>
      </c>
      <c r="G23" s="17"/>
      <c r="H23" s="16">
        <f>SUM(H16)</f>
        <v>0</v>
      </c>
      <c r="I23" s="17"/>
      <c r="J23" s="16">
        <f>SUM(J16)</f>
        <v>0</v>
      </c>
      <c r="K23" s="17"/>
      <c r="L23" s="16">
        <f>SUM(L4,L12)</f>
        <v>0</v>
      </c>
      <c r="M23" s="3" t="s">
        <v>479</v>
      </c>
    </row>
    <row r="24" spans="1:13" x14ac:dyDescent="0.25">
      <c r="A24" s="71" t="s">
        <v>66</v>
      </c>
      <c r="B24" s="72"/>
      <c r="C24" s="73"/>
      <c r="D24" s="16">
        <f>D23</f>
        <v>162858635</v>
      </c>
      <c r="E24" s="17"/>
      <c r="F24" s="16">
        <f>F23+E31*4</f>
        <v>123145076</v>
      </c>
      <c r="G24" s="17"/>
      <c r="H24" s="16">
        <f>H23+E32*15</f>
        <v>23120971.5</v>
      </c>
      <c r="I24" s="17"/>
      <c r="J24" s="16">
        <f>J23+E33*15</f>
        <v>25433068.650000002</v>
      </c>
      <c r="K24" s="16"/>
      <c r="L24" s="16">
        <f>L23+E34*15</f>
        <v>27976375.515000004</v>
      </c>
      <c r="M24" s="3" t="s">
        <v>480</v>
      </c>
    </row>
    <row r="25" spans="1:13" x14ac:dyDescent="0.25">
      <c r="A25" s="71" t="s">
        <v>67</v>
      </c>
      <c r="B25" s="72"/>
      <c r="C25" s="73"/>
      <c r="D25" s="16">
        <f>D24</f>
        <v>162858635</v>
      </c>
      <c r="E25" s="17"/>
      <c r="F25" s="16">
        <f>F23+F4+F9+F17</f>
        <v>174627539</v>
      </c>
      <c r="G25" s="17"/>
      <c r="H25" s="16">
        <f>H23+H3+H5+H6+H8+H10+H12+H13+H14+H15</f>
        <v>116022867</v>
      </c>
      <c r="I25" s="17"/>
      <c r="J25" s="16">
        <f>J23+J6+J12</f>
        <v>17645563</v>
      </c>
      <c r="K25" s="17"/>
      <c r="L25" s="16">
        <f>L23</f>
        <v>0</v>
      </c>
      <c r="M25" s="3" t="s">
        <v>481</v>
      </c>
    </row>
    <row r="26" spans="1:13" x14ac:dyDescent="0.25">
      <c r="A26" s="71" t="s">
        <v>68</v>
      </c>
      <c r="B26" s="72"/>
      <c r="C26" s="73"/>
      <c r="D26" s="16">
        <v>154647000</v>
      </c>
      <c r="E26" s="17"/>
      <c r="F26" s="16">
        <v>165000000</v>
      </c>
      <c r="G26" s="17"/>
      <c r="H26" s="16">
        <v>173250000</v>
      </c>
      <c r="I26" s="17"/>
      <c r="J26" s="16">
        <v>181913000</v>
      </c>
      <c r="K26" s="17"/>
      <c r="L26" s="16">
        <v>191009000</v>
      </c>
      <c r="M26" s="3"/>
    </row>
    <row r="27" spans="1:13" x14ac:dyDescent="0.25">
      <c r="A27" s="71" t="s">
        <v>69</v>
      </c>
      <c r="B27" s="72"/>
      <c r="C27" s="73"/>
      <c r="D27" s="16">
        <v>187895000</v>
      </c>
      <c r="E27" s="17"/>
      <c r="F27" s="29">
        <v>200000000</v>
      </c>
      <c r="G27" s="17"/>
      <c r="H27" s="16">
        <v>210499000</v>
      </c>
      <c r="I27" s="17"/>
      <c r="J27" s="16">
        <v>221024000</v>
      </c>
      <c r="K27" s="17"/>
      <c r="L27" s="16">
        <v>232076000</v>
      </c>
      <c r="M27" s="3"/>
    </row>
    <row r="28" spans="1:13" x14ac:dyDescent="0.25">
      <c r="A28" s="71" t="s">
        <v>70</v>
      </c>
      <c r="B28" s="72"/>
      <c r="C28" s="73"/>
      <c r="D28" s="16">
        <f>D26-D24</f>
        <v>-8211635</v>
      </c>
      <c r="E28" s="16"/>
      <c r="F28" s="16">
        <f>F26-F24</f>
        <v>41854924</v>
      </c>
      <c r="G28" s="16"/>
      <c r="H28" s="16">
        <f>H26-H24</f>
        <v>150129028.5</v>
      </c>
      <c r="I28" s="16"/>
      <c r="J28" s="16">
        <f>J26-J24</f>
        <v>156479931.34999999</v>
      </c>
      <c r="K28" s="16"/>
      <c r="L28" s="16">
        <f>L26-L24</f>
        <v>163032624.48499998</v>
      </c>
      <c r="M28" s="3" t="s">
        <v>482</v>
      </c>
    </row>
    <row r="29" spans="1:13" x14ac:dyDescent="0.25">
      <c r="A29" s="74" t="s">
        <v>71</v>
      </c>
      <c r="B29" s="74"/>
      <c r="C29" s="74"/>
      <c r="D29" s="16">
        <f>D27-D24</f>
        <v>25036365</v>
      </c>
      <c r="E29" s="16"/>
      <c r="F29" s="16">
        <f>F27-F24</f>
        <v>76854924</v>
      </c>
      <c r="G29" s="16"/>
      <c r="H29" s="16">
        <f>H27-H24</f>
        <v>187378028.5</v>
      </c>
      <c r="I29" s="16"/>
      <c r="J29" s="16">
        <f>J27-J24</f>
        <v>195590931.34999999</v>
      </c>
      <c r="K29" s="16"/>
      <c r="L29" s="16">
        <f>L27-L24</f>
        <v>204099624.48499998</v>
      </c>
      <c r="M29" s="3" t="s">
        <v>483</v>
      </c>
    </row>
    <row r="30" spans="1:13" x14ac:dyDescent="0.25">
      <c r="D30" s="30"/>
      <c r="E30" s="3"/>
      <c r="F30" s="30"/>
      <c r="G30" s="3"/>
      <c r="H30" s="30"/>
      <c r="I30" s="3"/>
      <c r="J30" s="30"/>
      <c r="K30" s="3"/>
      <c r="L30" s="30"/>
      <c r="M30" s="3"/>
    </row>
    <row r="31" spans="1:13" x14ac:dyDescent="0.25">
      <c r="A31" s="75" t="s">
        <v>404</v>
      </c>
      <c r="B31" s="75"/>
      <c r="C31" s="75"/>
      <c r="D31" s="75"/>
      <c r="E31" s="16">
        <v>1401271</v>
      </c>
      <c r="F31" s="30"/>
      <c r="G31" s="3"/>
      <c r="H31" s="30"/>
      <c r="I31" s="3"/>
      <c r="J31" s="30"/>
      <c r="K31" s="3"/>
      <c r="L31" s="30"/>
      <c r="M31" s="3"/>
    </row>
    <row r="32" spans="1:13" x14ac:dyDescent="0.25">
      <c r="A32" s="75" t="s">
        <v>405</v>
      </c>
      <c r="B32" s="75"/>
      <c r="C32" s="75"/>
      <c r="D32" s="75"/>
      <c r="E32" s="16">
        <f>E31*1.1</f>
        <v>1541398.1</v>
      </c>
      <c r="F32" s="30"/>
      <c r="G32" s="3"/>
      <c r="H32" s="30"/>
      <c r="I32" s="3"/>
      <c r="J32" s="30"/>
      <c r="K32" s="3"/>
      <c r="L32" s="30"/>
      <c r="M32" s="3"/>
    </row>
    <row r="33" spans="1:13" x14ac:dyDescent="0.25">
      <c r="A33" s="75" t="s">
        <v>406</v>
      </c>
      <c r="B33" s="75"/>
      <c r="C33" s="75"/>
      <c r="D33" s="75"/>
      <c r="E33" s="16">
        <f>E32*1.1</f>
        <v>1695537.9100000001</v>
      </c>
      <c r="F33" s="30"/>
      <c r="G33" s="3"/>
      <c r="H33" s="30"/>
      <c r="I33" s="3"/>
      <c r="J33" s="30"/>
      <c r="K33" s="3"/>
      <c r="L33" s="30"/>
      <c r="M33" s="3"/>
    </row>
    <row r="34" spans="1:13" x14ac:dyDescent="0.25">
      <c r="A34" s="75" t="s">
        <v>407</v>
      </c>
      <c r="B34" s="75"/>
      <c r="C34" s="75"/>
      <c r="D34" s="75"/>
      <c r="E34" s="16">
        <f>E33*1.1</f>
        <v>1865091.7010000004</v>
      </c>
      <c r="F34" s="30"/>
      <c r="G34" s="3"/>
      <c r="H34" s="30"/>
      <c r="I34" s="3"/>
      <c r="J34" s="30"/>
      <c r="K34" s="3"/>
      <c r="L34" s="30"/>
      <c r="M34" s="3"/>
    </row>
  </sheetData>
  <mergeCells count="12">
    <mergeCell ref="A34:D34"/>
    <mergeCell ref="A27:C27"/>
    <mergeCell ref="A28:C28"/>
    <mergeCell ref="A29:C29"/>
    <mergeCell ref="A31:D31"/>
    <mergeCell ref="A32:D32"/>
    <mergeCell ref="A33:D33"/>
    <mergeCell ref="A1:M1"/>
    <mergeCell ref="A23:C23"/>
    <mergeCell ref="A24:C24"/>
    <mergeCell ref="A25:C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ATL Hawks</vt:lpstr>
      <vt:lpstr>BOS Celtics</vt:lpstr>
      <vt:lpstr>BKN Nets</vt:lpstr>
      <vt:lpstr>CHA Hornets</vt:lpstr>
      <vt:lpstr>CHI Bulls</vt:lpstr>
      <vt:lpstr>CLE Cavs</vt:lpstr>
      <vt:lpstr>DAL Mavs</vt:lpstr>
      <vt:lpstr>DEN Nuggets</vt:lpstr>
      <vt:lpstr>DET Pistons</vt:lpstr>
      <vt:lpstr>GS Warriors</vt:lpstr>
      <vt:lpstr>HOU Rockets</vt:lpstr>
      <vt:lpstr>IND Pacers</vt:lpstr>
      <vt:lpstr>LAC Clippers</vt:lpstr>
      <vt:lpstr>LAL Lakers</vt:lpstr>
      <vt:lpstr>MEM Grizzlies</vt:lpstr>
      <vt:lpstr>MIA Heat</vt:lpstr>
      <vt:lpstr>MIL Bucks</vt:lpstr>
      <vt:lpstr>MIN Wolves</vt:lpstr>
      <vt:lpstr>NOP Pels</vt:lpstr>
      <vt:lpstr>NYK Knicks</vt:lpstr>
      <vt:lpstr>OKC Thunder</vt:lpstr>
      <vt:lpstr>ORL Magic</vt:lpstr>
      <vt:lpstr>PHI 76ers</vt:lpstr>
      <vt:lpstr>PHX Suns</vt:lpstr>
      <vt:lpstr>POR Trailblazers</vt:lpstr>
      <vt:lpstr>SAC Kings</vt:lpstr>
      <vt:lpstr>SAS Spurs</vt:lpstr>
      <vt:lpstr>TOR Raptors</vt:lpstr>
      <vt:lpstr>UTA Jazz</vt:lpstr>
      <vt:lpstr>WAS Wizards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Monga</dc:creator>
  <cp:lastModifiedBy>Keith Monga</cp:lastModifiedBy>
  <dcterms:created xsi:type="dcterms:W3CDTF">2026-01-28T00:48:01Z</dcterms:created>
  <dcterms:modified xsi:type="dcterms:W3CDTF">2026-03-18T15:50:20Z</dcterms:modified>
</cp:coreProperties>
</file>